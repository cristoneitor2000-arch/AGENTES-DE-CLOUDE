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UMEN" sheetId="2" state="visible" r:id="rId2"/>
    <sheet name="REVISION" sheetId="3" state="visible" r:id="rId3"/>
    <sheet name="PARAMET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9" customWidth="1" min="9" max="9"/>
    <col width="10" customWidth="1" min="10" max="10"/>
    <col width="9" customWidth="1" min="11" max="11"/>
    <col width="12" customWidth="1" min="12" max="12"/>
    <col width="9" customWidth="1" min="13" max="13"/>
    <col width="10" customWidth="1" min="14" max="14"/>
    <col width="12" customWidth="1" min="15" max="15"/>
    <col width="12" customWidth="1" min="16" max="16"/>
    <col width="12" customWidth="1" min="17" max="17"/>
    <col width="12" customWidth="1" min="18" max="18"/>
    <col width="50" customWidth="1" min="19" max="19"/>
  </cols>
  <sheetData>
    <row r="1">
      <c r="A1" s="1" t="inlineStr">
        <is>
          <t>ID</t>
        </is>
      </c>
      <c r="B1" s="1" t="inlineStr">
        <is>
          <t>Elemento</t>
        </is>
      </c>
      <c r="C1" s="1" t="inlineStr">
        <is>
          <t>Capa</t>
        </is>
      </c>
      <c r="D1" s="1" t="inlineStr">
        <is>
          <t>Espesor de muro (m)</t>
        </is>
      </c>
      <c r="E1" s="1" t="inlineStr">
        <is>
          <t>Tipo de cimiento</t>
        </is>
      </c>
      <c r="F1" s="1" t="inlineStr">
        <is>
          <t>Ancho de cimiento (m)</t>
        </is>
      </c>
      <c r="G1" s="1" t="inlineStr">
        <is>
          <t>Peralte de cimiento (m)</t>
        </is>
      </c>
      <c r="H1" s="1" t="inlineStr">
        <is>
          <t>Longitud</t>
        </is>
      </c>
      <c r="I1" s="1" t="inlineStr">
        <is>
          <t>Unidad longitud</t>
        </is>
      </c>
      <c r="J1" s="1" t="inlineStr">
        <is>
          <t>Altura</t>
        </is>
      </c>
      <c r="K1" s="1" t="inlineStr">
        <is>
          <t>Unidad altura</t>
        </is>
      </c>
      <c r="L1" s="1" t="inlineStr">
        <is>
          <t>Área</t>
        </is>
      </c>
      <c r="M1" s="1" t="inlineStr">
        <is>
          <t>Unidad área</t>
        </is>
      </c>
      <c r="N1" s="1" t="inlineStr">
        <is>
          <t>Handle</t>
        </is>
      </c>
      <c r="O1" s="1" t="inlineStr">
        <is>
          <t>X inicio (m)</t>
        </is>
      </c>
      <c r="P1" s="1" t="inlineStr">
        <is>
          <t>Y inicio (m)</t>
        </is>
      </c>
      <c r="Q1" s="1" t="inlineStr">
        <is>
          <t>X fin (m)</t>
        </is>
      </c>
      <c r="R1" s="1" t="inlineStr">
        <is>
          <t>Y fin (m)</t>
        </is>
      </c>
      <c r="S1" s="1" t="inlineStr">
        <is>
          <t>Observaciones</t>
        </is>
      </c>
    </row>
    <row r="2">
      <c r="A2" s="2" t="inlineStr">
        <is>
          <t>C-001</t>
        </is>
      </c>
      <c r="B2" s="2" t="inlineStr">
        <is>
          <t>Cimiento corrido</t>
        </is>
      </c>
      <c r="C2" s="2" t="inlineStr">
        <is>
          <t>Cimiento corrido CC-PRUEBA2 de 0.50 x 0.20 m</t>
        </is>
      </c>
      <c r="D2" s="3" t="n">
        <v>0.2</v>
      </c>
      <c r="E2" s="2" t="inlineStr">
        <is>
          <t>CC-PRUEBA2</t>
        </is>
      </c>
      <c r="F2" s="3" t="n">
        <v>0.5</v>
      </c>
      <c r="G2" s="3" t="n">
        <v>0.2</v>
      </c>
      <c r="H2" s="4" t="n">
        <v>6</v>
      </c>
      <c r="I2" s="2" t="inlineStr">
        <is>
          <t>m</t>
        </is>
      </c>
      <c r="J2" s="2" t="n"/>
      <c r="K2" s="2" t="n"/>
      <c r="L2" s="2" t="n"/>
      <c r="M2" s="2" t="n"/>
      <c r="N2" s="2" t="inlineStr">
        <is>
          <t>DF</t>
        </is>
      </c>
      <c r="O2" s="4" t="n">
        <v>60</v>
      </c>
      <c r="P2" s="4" t="n">
        <v>-6.938893903907228e-18</v>
      </c>
      <c r="Q2" s="4" t="n">
        <v>66</v>
      </c>
      <c r="R2" s="4" t="n">
        <v>-6.938893903907228e-18</v>
      </c>
      <c r="S2" s="2" t="inlineStr"/>
    </row>
    <row r="3">
      <c r="A3" s="2" t="inlineStr">
        <is>
          <t>C-002</t>
        </is>
      </c>
      <c r="B3" s="2" t="inlineStr">
        <is>
          <t>Cimiento corrido</t>
        </is>
      </c>
      <c r="C3" s="2" t="inlineStr">
        <is>
          <t>Cimiento corrido CC-PRUEBA1 de 0.40 x 0.20 m</t>
        </is>
      </c>
      <c r="D3" s="3" t="n">
        <v>0.15</v>
      </c>
      <c r="E3" s="2" t="inlineStr">
        <is>
          <t>CC-PRUEBA1</t>
        </is>
      </c>
      <c r="F3" s="3" t="n">
        <v>0.4</v>
      </c>
      <c r="G3" s="3" t="n">
        <v>0.2</v>
      </c>
      <c r="H3" s="4" t="n">
        <v>4</v>
      </c>
      <c r="I3" s="2" t="inlineStr">
        <is>
          <t>m</t>
        </is>
      </c>
      <c r="J3" s="2" t="n"/>
      <c r="K3" s="2" t="n"/>
      <c r="L3" s="2" t="n"/>
      <c r="M3" s="2" t="n"/>
      <c r="N3" s="2" t="inlineStr">
        <is>
          <t>E0</t>
        </is>
      </c>
      <c r="O3" s="4" t="n">
        <v>0</v>
      </c>
      <c r="P3" s="4" t="n">
        <v>0</v>
      </c>
      <c r="Q3" s="4" t="n">
        <v>4</v>
      </c>
      <c r="R3" s="4" t="n">
        <v>0</v>
      </c>
      <c r="S3" s="2" t="inlineStr"/>
    </row>
    <row r="4">
      <c r="A4" s="2" t="inlineStr">
        <is>
          <t>C-003</t>
        </is>
      </c>
      <c r="B4" s="2" t="inlineStr">
        <is>
          <t>Cimiento corrido</t>
        </is>
      </c>
      <c r="C4" s="2" t="inlineStr">
        <is>
          <t>Cimiento corrido CC-PRUEBA1 de 0.40 x 0.20 m</t>
        </is>
      </c>
      <c r="D4" s="3" t="n">
        <v>0.15</v>
      </c>
      <c r="E4" s="2" t="inlineStr">
        <is>
          <t>CC-PRUEBA1</t>
        </is>
      </c>
      <c r="F4" s="3" t="n">
        <v>0.4</v>
      </c>
      <c r="G4" s="3" t="n">
        <v>0.2</v>
      </c>
      <c r="H4" s="4" t="n">
        <v>7</v>
      </c>
      <c r="I4" s="2" t="inlineStr">
        <is>
          <t>m</t>
        </is>
      </c>
      <c r="J4" s="2" t="n"/>
      <c r="K4" s="2" t="n"/>
      <c r="L4" s="2" t="n"/>
      <c r="M4" s="2" t="n"/>
      <c r="N4" s="2" t="inlineStr">
        <is>
          <t>E1</t>
        </is>
      </c>
      <c r="O4" s="4" t="n">
        <v>14</v>
      </c>
      <c r="P4" s="4" t="n">
        <v>0</v>
      </c>
      <c r="Q4" s="4" t="n">
        <v>10</v>
      </c>
      <c r="R4" s="4" t="n">
        <v>3</v>
      </c>
      <c r="S4" s="2" t="inlineStr">
        <is>
          <t>polilínea unida en esquina (3 vértices)</t>
        </is>
      </c>
    </row>
    <row r="5">
      <c r="A5" s="2" t="inlineStr">
        <is>
          <t>C-004</t>
        </is>
      </c>
      <c r="B5" s="2" t="inlineStr">
        <is>
          <t>Cimiento corrido</t>
        </is>
      </c>
      <c r="C5" s="2" t="inlineStr">
        <is>
          <t>Cimiento corrido CC-PRUEBA1 de 0.40 x 0.20 m</t>
        </is>
      </c>
      <c r="D5" s="3" t="n">
        <v>0.15</v>
      </c>
      <c r="E5" s="2" t="inlineStr">
        <is>
          <t>CC-PRUEBA1</t>
        </is>
      </c>
      <c r="F5" s="3" t="n">
        <v>0.4</v>
      </c>
      <c r="G5" s="3" t="n">
        <v>0.2</v>
      </c>
      <c r="H5" s="4" t="n">
        <v>6</v>
      </c>
      <c r="I5" s="2" t="inlineStr">
        <is>
          <t>m</t>
        </is>
      </c>
      <c r="J5" s="2" t="n"/>
      <c r="K5" s="2" t="n"/>
      <c r="L5" s="2" t="n"/>
      <c r="M5" s="2" t="n"/>
      <c r="N5" s="2" t="inlineStr">
        <is>
          <t>E2</t>
        </is>
      </c>
      <c r="O5" s="4" t="n">
        <v>20</v>
      </c>
      <c r="P5" s="4" t="n">
        <v>0</v>
      </c>
      <c r="Q5" s="4" t="n">
        <v>26</v>
      </c>
      <c r="R5" s="4" t="n">
        <v>0</v>
      </c>
      <c r="S5" s="2" t="inlineStr"/>
    </row>
    <row r="6">
      <c r="A6" s="2" t="inlineStr">
        <is>
          <t>C-005</t>
        </is>
      </c>
      <c r="B6" s="2" t="inlineStr">
        <is>
          <t>Cimiento corrido</t>
        </is>
      </c>
      <c r="C6" s="2" t="inlineStr">
        <is>
          <t>Cimiento corrido CC-PRUEBA1 de 0.40 x 0.20 m</t>
        </is>
      </c>
      <c r="D6" s="3" t="n">
        <v>0.15</v>
      </c>
      <c r="E6" s="2" t="inlineStr">
        <is>
          <t>CC-PRUEBA1</t>
        </is>
      </c>
      <c r="F6" s="3" t="n">
        <v>0.4</v>
      </c>
      <c r="G6" s="3" t="n">
        <v>0.2</v>
      </c>
      <c r="H6" s="4" t="n">
        <v>6</v>
      </c>
      <c r="I6" s="2" t="inlineStr">
        <is>
          <t>m</t>
        </is>
      </c>
      <c r="J6" s="2" t="n"/>
      <c r="K6" s="2" t="n"/>
      <c r="L6" s="2" t="n"/>
      <c r="M6" s="2" t="n"/>
      <c r="N6" s="2" t="inlineStr">
        <is>
          <t>E3</t>
        </is>
      </c>
      <c r="O6" s="4" t="n">
        <v>30</v>
      </c>
      <c r="P6" s="4" t="n">
        <v>0</v>
      </c>
      <c r="Q6" s="4" t="n">
        <v>36</v>
      </c>
      <c r="R6" s="4" t="n">
        <v>0</v>
      </c>
      <c r="S6" s="2" t="inlineStr"/>
    </row>
    <row r="7">
      <c r="A7" s="2" t="inlineStr">
        <is>
          <t>C-006</t>
        </is>
      </c>
      <c r="B7" s="2" t="inlineStr">
        <is>
          <t>Cimiento corrido</t>
        </is>
      </c>
      <c r="C7" s="2" t="inlineStr">
        <is>
          <t>Cimiento corrido CC-PRUEBA1 de 0.40 x 0.20 m</t>
        </is>
      </c>
      <c r="D7" s="3" t="n">
        <v>0.15</v>
      </c>
      <c r="E7" s="2" t="inlineStr">
        <is>
          <t>CC-PRUEBA1</t>
        </is>
      </c>
      <c r="F7" s="3" t="n">
        <v>0.4</v>
      </c>
      <c r="G7" s="3" t="n">
        <v>0.2</v>
      </c>
      <c r="H7" s="4" t="n">
        <v>6</v>
      </c>
      <c r="I7" s="2" t="inlineStr">
        <is>
          <t>m</t>
        </is>
      </c>
      <c r="J7" s="2" t="n"/>
      <c r="K7" s="2" t="n"/>
      <c r="L7" s="2" t="n"/>
      <c r="M7" s="2" t="n"/>
      <c r="N7" s="2" t="inlineStr">
        <is>
          <t>E4</t>
        </is>
      </c>
      <c r="O7" s="4" t="n">
        <v>40</v>
      </c>
      <c r="P7" s="4" t="n">
        <v>0</v>
      </c>
      <c r="Q7" s="4" t="n">
        <v>46</v>
      </c>
      <c r="R7" s="4" t="n">
        <v>0</v>
      </c>
      <c r="S7" s="2" t="inlineStr"/>
    </row>
    <row r="8">
      <c r="A8" s="2" t="inlineStr">
        <is>
          <t>C-007</t>
        </is>
      </c>
      <c r="B8" s="2" t="inlineStr">
        <is>
          <t>Cimiento corrido</t>
        </is>
      </c>
      <c r="C8" s="2" t="inlineStr">
        <is>
          <t>Cimiento corrido CC-PRUEBA1 de 0.40 x 0.20 m</t>
        </is>
      </c>
      <c r="D8" s="3" t="n">
        <v>0.15</v>
      </c>
      <c r="E8" s="2" t="inlineStr">
        <is>
          <t>CC-PRUEBA1</t>
        </is>
      </c>
      <c r="F8" s="3" t="n">
        <v>0.4</v>
      </c>
      <c r="G8" s="3" t="n">
        <v>0.2</v>
      </c>
      <c r="H8" s="4" t="n">
        <v>3.799999999999997</v>
      </c>
      <c r="I8" s="2" t="inlineStr">
        <is>
          <t>m</t>
        </is>
      </c>
      <c r="J8" s="2" t="n"/>
      <c r="K8" s="2" t="n"/>
      <c r="L8" s="2" t="n"/>
      <c r="M8" s="2" t="n"/>
      <c r="N8" s="2" t="inlineStr">
        <is>
          <t>E5</t>
        </is>
      </c>
      <c r="O8" s="4" t="n">
        <v>90</v>
      </c>
      <c r="P8" s="4" t="n">
        <v>0</v>
      </c>
      <c r="Q8" s="4" t="n">
        <v>93.8</v>
      </c>
      <c r="R8" s="4" t="n">
        <v>0</v>
      </c>
      <c r="S8" s="2" t="inlineStr"/>
    </row>
    <row r="9">
      <c r="A9" s="2" t="inlineStr">
        <is>
          <t>C-008</t>
        </is>
      </c>
      <c r="B9" s="2" t="inlineStr">
        <is>
          <t>Cimiento corrido</t>
        </is>
      </c>
      <c r="C9" s="2" t="inlineStr">
        <is>
          <t>Cimiento corrido CC-PRUEBA1 de 0.40 x 0.20 m</t>
        </is>
      </c>
      <c r="D9" s="3" t="n">
        <v>0.15</v>
      </c>
      <c r="E9" s="2" t="inlineStr">
        <is>
          <t>CC-PRUEBA1</t>
        </is>
      </c>
      <c r="F9" s="3" t="n">
        <v>0.4</v>
      </c>
      <c r="G9" s="3" t="n">
        <v>0.2</v>
      </c>
      <c r="H9" s="4" t="n">
        <v>4</v>
      </c>
      <c r="I9" s="2" t="inlineStr">
        <is>
          <t>m</t>
        </is>
      </c>
      <c r="J9" s="2" t="n"/>
      <c r="K9" s="2" t="n"/>
      <c r="L9" s="2" t="n"/>
      <c r="M9" s="2" t="n"/>
      <c r="N9" s="2" t="inlineStr">
        <is>
          <t>E6</t>
        </is>
      </c>
      <c r="O9" s="4" t="n">
        <v>94</v>
      </c>
      <c r="P9" s="4" t="n">
        <v>-2</v>
      </c>
      <c r="Q9" s="4" t="n">
        <v>94</v>
      </c>
      <c r="R9" s="4" t="n">
        <v>2</v>
      </c>
      <c r="S9" s="2" t="inlineStr"/>
    </row>
    <row r="10">
      <c r="A10" s="2" t="inlineStr">
        <is>
          <t>C-009</t>
        </is>
      </c>
      <c r="B10" s="2" t="inlineStr">
        <is>
          <t>Cimiento corrido</t>
        </is>
      </c>
      <c r="C10" s="2" t="inlineStr">
        <is>
          <t>Cimiento corrido CC-PRUEBA1 de 0.40 x 0.20 m</t>
        </is>
      </c>
      <c r="D10" s="3" t="n">
        <v>0.15</v>
      </c>
      <c r="E10" s="2" t="inlineStr">
        <is>
          <t>CC-PRUEBA1</t>
        </is>
      </c>
      <c r="F10" s="3" t="n">
        <v>0.4</v>
      </c>
      <c r="G10" s="3" t="n">
        <v>0.2</v>
      </c>
      <c r="H10" s="4" t="n">
        <v>1.8</v>
      </c>
      <c r="I10" s="2" t="inlineStr">
        <is>
          <t>m</t>
        </is>
      </c>
      <c r="J10" s="2" t="n"/>
      <c r="K10" s="2" t="n"/>
      <c r="L10" s="2" t="n"/>
      <c r="M10" s="2" t="n"/>
      <c r="N10" s="2" t="inlineStr">
        <is>
          <t>E7</t>
        </is>
      </c>
      <c r="O10" s="4" t="n">
        <v>33</v>
      </c>
      <c r="P10" s="4" t="n">
        <v>-2</v>
      </c>
      <c r="Q10" s="4" t="n">
        <v>33</v>
      </c>
      <c r="R10" s="4" t="n">
        <v>-0.2</v>
      </c>
      <c r="S10" s="2" t="inlineStr"/>
    </row>
    <row r="11">
      <c r="A11" s="2" t="inlineStr">
        <is>
          <t>C-010</t>
        </is>
      </c>
      <c r="B11" s="2" t="inlineStr">
        <is>
          <t>Cimiento corrido</t>
        </is>
      </c>
      <c r="C11" s="2" t="inlineStr">
        <is>
          <t>Cimiento corrido CC-PRUEBA1 de 0.40 x 0.20 m</t>
        </is>
      </c>
      <c r="D11" s="3" t="n">
        <v>0.15</v>
      </c>
      <c r="E11" s="2" t="inlineStr">
        <is>
          <t>CC-PRUEBA1</t>
        </is>
      </c>
      <c r="F11" s="3" t="n">
        <v>0.4</v>
      </c>
      <c r="G11" s="3" t="n">
        <v>0.2</v>
      </c>
      <c r="H11" s="4" t="n">
        <v>1.8</v>
      </c>
      <c r="I11" s="2" t="inlineStr">
        <is>
          <t>m</t>
        </is>
      </c>
      <c r="J11" s="2" t="n"/>
      <c r="K11" s="2" t="n"/>
      <c r="L11" s="2" t="n"/>
      <c r="M11" s="2" t="n"/>
      <c r="N11" s="2" t="inlineStr">
        <is>
          <t>E8</t>
        </is>
      </c>
      <c r="O11" s="4" t="n">
        <v>33</v>
      </c>
      <c r="P11" s="4" t="n">
        <v>0.2</v>
      </c>
      <c r="Q11" s="4" t="n">
        <v>33</v>
      </c>
      <c r="R11" s="4" t="n">
        <v>2</v>
      </c>
      <c r="S11" s="2" t="inlineStr"/>
    </row>
    <row r="12">
      <c r="A12" s="2" t="inlineStr">
        <is>
          <t>C-011</t>
        </is>
      </c>
      <c r="B12" s="2" t="inlineStr">
        <is>
          <t>Cimiento corrido</t>
        </is>
      </c>
      <c r="C12" s="2" t="inlineStr">
        <is>
          <t>Cimiento corrido CC-PRUEBA1 de 0.40 x 0.20 m</t>
        </is>
      </c>
      <c r="D12" s="3" t="n">
        <v>0.15</v>
      </c>
      <c r="E12" s="2" t="inlineStr">
        <is>
          <t>CC-PRUEBA1</t>
        </is>
      </c>
      <c r="F12" s="3" t="n">
        <v>0.4</v>
      </c>
      <c r="G12" s="3" t="n">
        <v>0.2</v>
      </c>
      <c r="H12" s="4" t="n">
        <v>2.8</v>
      </c>
      <c r="I12" s="2" t="inlineStr">
        <is>
          <t>m</t>
        </is>
      </c>
      <c r="J12" s="2" t="n"/>
      <c r="K12" s="2" t="n"/>
      <c r="L12" s="2" t="n"/>
      <c r="M12" s="2" t="n"/>
      <c r="N12" s="2" t="inlineStr">
        <is>
          <t>E9</t>
        </is>
      </c>
      <c r="O12" s="4" t="n">
        <v>23</v>
      </c>
      <c r="P12" s="4" t="n">
        <v>0.2</v>
      </c>
      <c r="Q12" s="4" t="n">
        <v>23</v>
      </c>
      <c r="R12" s="4" t="n">
        <v>3</v>
      </c>
      <c r="S12" s="2" t="inlineStr"/>
    </row>
    <row r="13">
      <c r="A13" s="2" t="inlineStr">
        <is>
          <t>M-001</t>
        </is>
      </c>
      <c r="B13" s="2" t="inlineStr">
        <is>
          <t>Muro</t>
        </is>
      </c>
      <c r="C13" s="2" t="inlineStr">
        <is>
          <t>N1 Muro de 20cm</t>
        </is>
      </c>
      <c r="D13" s="3" t="n">
        <v>0.2</v>
      </c>
      <c r="E13" s="2" t="n"/>
      <c r="F13" s="2" t="n"/>
      <c r="G13" s="2" t="n"/>
      <c r="H13" s="4" t="n">
        <v>6</v>
      </c>
      <c r="I13" s="2" t="inlineStr">
        <is>
          <t>m</t>
        </is>
      </c>
      <c r="J13" s="3" t="n">
        <v>2.8</v>
      </c>
      <c r="K13" s="2" t="inlineStr">
        <is>
          <t>m</t>
        </is>
      </c>
      <c r="L13" s="4">
        <f>IF(J13="","",H13*J13)</f>
        <v/>
      </c>
      <c r="M13" s="2" t="inlineStr">
        <is>
          <t>m²</t>
        </is>
      </c>
      <c r="N13" s="2" t="inlineStr">
        <is>
          <t>EA</t>
        </is>
      </c>
      <c r="O13" s="4" t="n">
        <v>60</v>
      </c>
      <c r="P13" s="4" t="n">
        <v>-6.938893903907228e-18</v>
      </c>
      <c r="Q13" s="4" t="n">
        <v>66</v>
      </c>
      <c r="R13" s="4" t="n">
        <v>-6.938893903907228e-18</v>
      </c>
      <c r="S13" s="2" t="inlineStr"/>
    </row>
    <row r="14">
      <c r="A14" s="2" t="inlineStr">
        <is>
          <t>M-002</t>
        </is>
      </c>
      <c r="B14" s="2" t="inlineStr">
        <is>
          <t>Muro</t>
        </is>
      </c>
      <c r="C14" s="2" t="inlineStr">
        <is>
          <t>N1 Muro de 15cm</t>
        </is>
      </c>
      <c r="D14" s="3" t="n">
        <v>0.15</v>
      </c>
      <c r="E14" s="2" t="n"/>
      <c r="F14" s="2" t="n"/>
      <c r="G14" s="2" t="n"/>
      <c r="H14" s="4" t="n">
        <v>4</v>
      </c>
      <c r="I14" s="2" t="inlineStr">
        <is>
          <t>m</t>
        </is>
      </c>
      <c r="J14" s="3" t="n">
        <v>2.8</v>
      </c>
      <c r="K14" s="2" t="inlineStr">
        <is>
          <t>m</t>
        </is>
      </c>
      <c r="L14" s="4">
        <f>IF(J14="","",H14*J14)</f>
        <v/>
      </c>
      <c r="M14" s="2" t="inlineStr">
        <is>
          <t>m²</t>
        </is>
      </c>
      <c r="N14" s="2" t="inlineStr">
        <is>
          <t>F2</t>
        </is>
      </c>
      <c r="O14" s="4" t="n">
        <v>0</v>
      </c>
      <c r="P14" s="4" t="n">
        <v>0</v>
      </c>
      <c r="Q14" s="4" t="n">
        <v>4</v>
      </c>
      <c r="R14" s="4" t="n">
        <v>0</v>
      </c>
      <c r="S14" s="2" t="inlineStr"/>
    </row>
    <row r="15">
      <c r="A15" s="2" t="inlineStr">
        <is>
          <t>M-003</t>
        </is>
      </c>
      <c r="B15" s="2" t="inlineStr">
        <is>
          <t>Muro</t>
        </is>
      </c>
      <c r="C15" s="2" t="inlineStr">
        <is>
          <t>N1 Muro de 15cm</t>
        </is>
      </c>
      <c r="D15" s="3" t="n">
        <v>0.15</v>
      </c>
      <c r="E15" s="2" t="n"/>
      <c r="F15" s="2" t="n"/>
      <c r="G15" s="2" t="n"/>
      <c r="H15" s="4" t="n">
        <v>4.074999999999999</v>
      </c>
      <c r="I15" s="2" t="inlineStr">
        <is>
          <t>m</t>
        </is>
      </c>
      <c r="J15" s="3" t="n">
        <v>2.8</v>
      </c>
      <c r="K15" s="2" t="inlineStr">
        <is>
          <t>m</t>
        </is>
      </c>
      <c r="L15" s="4">
        <f>IF(J15="","",H15*J15)</f>
        <v/>
      </c>
      <c r="M15" s="2" t="inlineStr">
        <is>
          <t>m²</t>
        </is>
      </c>
      <c r="N15" s="2" t="inlineStr">
        <is>
          <t>FA</t>
        </is>
      </c>
      <c r="O15" s="4" t="n">
        <v>9.925000000000001</v>
      </c>
      <c r="P15" s="4" t="n">
        <v>0</v>
      </c>
      <c r="Q15" s="4" t="n">
        <v>14</v>
      </c>
      <c r="R15" s="4" t="n">
        <v>0</v>
      </c>
      <c r="S15" s="2" t="inlineStr"/>
    </row>
    <row r="16">
      <c r="A16" s="2" t="inlineStr">
        <is>
          <t>M-004</t>
        </is>
      </c>
      <c r="B16" s="2" t="inlineStr">
        <is>
          <t>Muro</t>
        </is>
      </c>
      <c r="C16" s="2" t="inlineStr">
        <is>
          <t>N1 Muro de 15cm</t>
        </is>
      </c>
      <c r="D16" s="3" t="n">
        <v>0.15</v>
      </c>
      <c r="E16" s="2" t="n"/>
      <c r="F16" s="2" t="n"/>
      <c r="G16" s="2" t="n"/>
      <c r="H16" s="4" t="n">
        <v>6</v>
      </c>
      <c r="I16" s="2" t="inlineStr">
        <is>
          <t>m</t>
        </is>
      </c>
      <c r="J16" s="3" t="n">
        <v>2.8</v>
      </c>
      <c r="K16" s="2" t="inlineStr">
        <is>
          <t>m</t>
        </is>
      </c>
      <c r="L16" s="4">
        <f>IF(J16="","",H16*J16)</f>
        <v/>
      </c>
      <c r="M16" s="2" t="inlineStr">
        <is>
          <t>m²</t>
        </is>
      </c>
      <c r="N16" s="2" t="inlineStr">
        <is>
          <t>102</t>
        </is>
      </c>
      <c r="O16" s="4" t="n">
        <v>20</v>
      </c>
      <c r="P16" s="4" t="n">
        <v>0</v>
      </c>
      <c r="Q16" s="4" t="n">
        <v>26</v>
      </c>
      <c r="R16" s="4" t="n">
        <v>0</v>
      </c>
      <c r="S16" s="2" t="inlineStr"/>
    </row>
    <row r="17">
      <c r="A17" s="2" t="inlineStr">
        <is>
          <t>M-005</t>
        </is>
      </c>
      <c r="B17" s="2" t="inlineStr">
        <is>
          <t>Muro</t>
        </is>
      </c>
      <c r="C17" s="2" t="inlineStr">
        <is>
          <t>N1 Muro de 15cm</t>
        </is>
      </c>
      <c r="D17" s="3" t="n">
        <v>0.15</v>
      </c>
      <c r="E17" s="2" t="n"/>
      <c r="F17" s="2" t="n"/>
      <c r="G17" s="2" t="n"/>
      <c r="H17" s="4" t="n">
        <v>6</v>
      </c>
      <c r="I17" s="2" t="inlineStr">
        <is>
          <t>m</t>
        </is>
      </c>
      <c r="J17" s="3" t="n">
        <v>2.8</v>
      </c>
      <c r="K17" s="2" t="inlineStr">
        <is>
          <t>m</t>
        </is>
      </c>
      <c r="L17" s="4">
        <f>IF(J17="","",H17*J17)</f>
        <v/>
      </c>
      <c r="M17" s="2" t="inlineStr">
        <is>
          <t>m²</t>
        </is>
      </c>
      <c r="N17" s="2" t="inlineStr">
        <is>
          <t>10A</t>
        </is>
      </c>
      <c r="O17" s="4" t="n">
        <v>30</v>
      </c>
      <c r="P17" s="4" t="n">
        <v>0</v>
      </c>
      <c r="Q17" s="4" t="n">
        <v>36</v>
      </c>
      <c r="R17" s="4" t="n">
        <v>0</v>
      </c>
      <c r="S17" s="2" t="inlineStr"/>
    </row>
    <row r="18">
      <c r="A18" s="2" t="inlineStr">
        <is>
          <t>M-006</t>
        </is>
      </c>
      <c r="B18" s="2" t="inlineStr">
        <is>
          <t>Muro</t>
        </is>
      </c>
      <c r="C18" s="2" t="inlineStr">
        <is>
          <t>N1 Muro de 15cm</t>
        </is>
      </c>
      <c r="D18" s="3" t="n">
        <v>0.15</v>
      </c>
      <c r="E18" s="2" t="n"/>
      <c r="F18" s="2" t="n"/>
      <c r="G18" s="2" t="n"/>
      <c r="H18" s="4" t="n">
        <v>2</v>
      </c>
      <c r="I18" s="2" t="inlineStr">
        <is>
          <t>m</t>
        </is>
      </c>
      <c r="J18" s="3" t="n">
        <v>2.8</v>
      </c>
      <c r="K18" s="2" t="inlineStr">
        <is>
          <t>m</t>
        </is>
      </c>
      <c r="L18" s="4">
        <f>IF(J18="","",H18*J18)</f>
        <v/>
      </c>
      <c r="M18" s="2" t="inlineStr">
        <is>
          <t>m²</t>
        </is>
      </c>
      <c r="N18" s="2" t="inlineStr">
        <is>
          <t>112</t>
        </is>
      </c>
      <c r="O18" s="4" t="n">
        <v>40</v>
      </c>
      <c r="P18" s="4" t="n">
        <v>0</v>
      </c>
      <c r="Q18" s="4" t="n">
        <v>42</v>
      </c>
      <c r="R18" s="4" t="n">
        <v>0</v>
      </c>
      <c r="S18" s="2" t="inlineStr"/>
    </row>
    <row r="19">
      <c r="A19" s="2" t="inlineStr">
        <is>
          <t>V-001</t>
        </is>
      </c>
      <c r="B19" s="2" t="inlineStr">
        <is>
          <t>Vano puerta</t>
        </is>
      </c>
      <c r="C19" s="2" t="inlineStr">
        <is>
          <t>N1 Muro de 15cm - Vano puerta</t>
        </is>
      </c>
      <c r="D19" s="3" t="n">
        <v>0.15</v>
      </c>
      <c r="E19" s="2" t="n"/>
      <c r="F19" s="2" t="n"/>
      <c r="G19" s="2" t="n"/>
      <c r="H19" s="4" t="n">
        <v>0.8999999999999986</v>
      </c>
      <c r="I19" s="2" t="inlineStr">
        <is>
          <t>m</t>
        </is>
      </c>
      <c r="J19" s="2" t="n"/>
      <c r="K19" s="2" t="n"/>
      <c r="L19" s="2" t="n"/>
      <c r="M19" s="2" t="n"/>
      <c r="N19" s="2" t="inlineStr">
        <is>
          <t>11A</t>
        </is>
      </c>
      <c r="O19" s="4" t="n">
        <v>42</v>
      </c>
      <c r="P19" s="4" t="n">
        <v>0</v>
      </c>
      <c r="Q19" s="4" t="n">
        <v>42.9</v>
      </c>
      <c r="R19" s="4" t="n">
        <v>0</v>
      </c>
      <c r="S19" s="2" t="inlineStr">
        <is>
          <t>paño sobre vano no calculado (falta altura de vano)</t>
        </is>
      </c>
    </row>
    <row r="20">
      <c r="A20" s="2" t="inlineStr">
        <is>
          <t>M-007</t>
        </is>
      </c>
      <c r="B20" s="2" t="inlineStr">
        <is>
          <t>Muro</t>
        </is>
      </c>
      <c r="C20" s="2" t="inlineStr">
        <is>
          <t>N1 Muro de 15cm</t>
        </is>
      </c>
      <c r="D20" s="3" t="n">
        <v>0.15</v>
      </c>
      <c r="E20" s="2" t="n"/>
      <c r="F20" s="2" t="n"/>
      <c r="G20" s="2" t="n"/>
      <c r="H20" s="4" t="n">
        <v>3.100000000000001</v>
      </c>
      <c r="I20" s="2" t="inlineStr">
        <is>
          <t>m</t>
        </is>
      </c>
      <c r="J20" s="3" t="n">
        <v>2.8</v>
      </c>
      <c r="K20" s="2" t="inlineStr">
        <is>
          <t>m</t>
        </is>
      </c>
      <c r="L20" s="4">
        <f>IF(J20="","",H20*J20)</f>
        <v/>
      </c>
      <c r="M20" s="2" t="inlineStr">
        <is>
          <t>m²</t>
        </is>
      </c>
      <c r="N20" s="2" t="inlineStr">
        <is>
          <t>122</t>
        </is>
      </c>
      <c r="O20" s="4" t="n">
        <v>42.9</v>
      </c>
      <c r="P20" s="4" t="n">
        <v>0</v>
      </c>
      <c r="Q20" s="4" t="n">
        <v>46</v>
      </c>
      <c r="R20" s="4" t="n">
        <v>0</v>
      </c>
      <c r="S20" s="2" t="inlineStr"/>
    </row>
    <row r="21">
      <c r="A21" s="2" t="inlineStr">
        <is>
          <t>M-008</t>
        </is>
      </c>
      <c r="B21" s="2" t="inlineStr">
        <is>
          <t>Muro</t>
        </is>
      </c>
      <c r="C21" s="2" t="inlineStr">
        <is>
          <t>N1 Muro de 15cm</t>
        </is>
      </c>
      <c r="D21" s="3" t="n">
        <v>0.15</v>
      </c>
      <c r="E21" s="2" t="n"/>
      <c r="F21" s="2" t="n"/>
      <c r="G21" s="2" t="n"/>
      <c r="H21" s="4" t="n">
        <v>3</v>
      </c>
      <c r="I21" s="2" t="inlineStr">
        <is>
          <t>m</t>
        </is>
      </c>
      <c r="J21" s="3" t="n">
        <v>2.8</v>
      </c>
      <c r="K21" s="2" t="inlineStr">
        <is>
          <t>m</t>
        </is>
      </c>
      <c r="L21" s="4">
        <f>IF(J21="","",H21*J21)</f>
        <v/>
      </c>
      <c r="M21" s="2" t="inlineStr">
        <is>
          <t>m²</t>
        </is>
      </c>
      <c r="N21" s="2" t="inlineStr">
        <is>
          <t>12A</t>
        </is>
      </c>
      <c r="O21" s="4" t="n">
        <v>90</v>
      </c>
      <c r="P21" s="4" t="n">
        <v>0</v>
      </c>
      <c r="Q21" s="4" t="n">
        <v>93</v>
      </c>
      <c r="R21" s="4" t="n">
        <v>0</v>
      </c>
      <c r="S21" s="2" t="inlineStr"/>
    </row>
    <row r="22">
      <c r="A22" s="2" t="inlineStr">
        <is>
          <t>V-002</t>
        </is>
      </c>
      <c r="B22" s="2" t="inlineStr">
        <is>
          <t>Vano puerta</t>
        </is>
      </c>
      <c r="C22" s="2" t="inlineStr">
        <is>
          <t>N1 Muro de 15cm - Vano puerta</t>
        </is>
      </c>
      <c r="D22" s="3" t="n">
        <v>0.15</v>
      </c>
      <c r="E22" s="2" t="n"/>
      <c r="F22" s="2" t="n"/>
      <c r="G22" s="2" t="n"/>
      <c r="H22" s="4" t="n">
        <v>0.9249999999999972</v>
      </c>
      <c r="I22" s="2" t="inlineStr">
        <is>
          <t>m</t>
        </is>
      </c>
      <c r="J22" s="2" t="n"/>
      <c r="K22" s="2" t="n"/>
      <c r="L22" s="2" t="n"/>
      <c r="M22" s="2" t="n"/>
      <c r="N22" s="2" t="inlineStr">
        <is>
          <t>132</t>
        </is>
      </c>
      <c r="O22" s="4" t="n">
        <v>93</v>
      </c>
      <c r="P22" s="4" t="n">
        <v>0</v>
      </c>
      <c r="Q22" s="4" t="n">
        <v>93.925</v>
      </c>
      <c r="R22" s="4" t="n">
        <v>0</v>
      </c>
      <c r="S22" s="2" t="inlineStr">
        <is>
          <t>vano en extremo libre hasta la cara del muro que cruza: verificar; paño sobre vano no calculado (falta altura de vano)</t>
        </is>
      </c>
    </row>
    <row r="23">
      <c r="A23" s="2" t="inlineStr">
        <is>
          <t>M-009</t>
        </is>
      </c>
      <c r="B23" s="2" t="inlineStr">
        <is>
          <t>Muro</t>
        </is>
      </c>
      <c r="C23" s="2" t="inlineStr">
        <is>
          <t>N1 Muro de 15cm</t>
        </is>
      </c>
      <c r="D23" s="3" t="n">
        <v>0.15</v>
      </c>
      <c r="E23" s="2" t="n"/>
      <c r="F23" s="2" t="n"/>
      <c r="G23" s="2" t="n"/>
      <c r="H23" s="4" t="n">
        <v>4</v>
      </c>
      <c r="I23" s="2" t="inlineStr">
        <is>
          <t>m</t>
        </is>
      </c>
      <c r="J23" s="3" t="n">
        <v>2.8</v>
      </c>
      <c r="K23" s="2" t="inlineStr">
        <is>
          <t>m</t>
        </is>
      </c>
      <c r="L23" s="4">
        <f>IF(J23="","",H23*J23)</f>
        <v/>
      </c>
      <c r="M23" s="2" t="inlineStr">
        <is>
          <t>m²</t>
        </is>
      </c>
      <c r="N23" s="2" t="inlineStr">
        <is>
          <t>13A</t>
        </is>
      </c>
      <c r="O23" s="4" t="n">
        <v>94</v>
      </c>
      <c r="P23" s="4" t="n">
        <v>-2</v>
      </c>
      <c r="Q23" s="4" t="n">
        <v>94</v>
      </c>
      <c r="R23" s="4" t="n">
        <v>2</v>
      </c>
      <c r="S23" s="2" t="inlineStr"/>
    </row>
    <row r="24">
      <c r="A24" s="2" t="inlineStr">
        <is>
          <t>M-010</t>
        </is>
      </c>
      <c r="B24" s="2" t="inlineStr">
        <is>
          <t>Muro</t>
        </is>
      </c>
      <c r="C24" s="2" t="inlineStr">
        <is>
          <t>N1 Muro de 15cm</t>
        </is>
      </c>
      <c r="D24" s="3" t="n">
        <v>0.15</v>
      </c>
      <c r="E24" s="2" t="n"/>
      <c r="F24" s="2" t="n"/>
      <c r="G24" s="2" t="n"/>
      <c r="H24" s="4" t="n">
        <v>1.925</v>
      </c>
      <c r="I24" s="2" t="inlineStr">
        <is>
          <t>m</t>
        </is>
      </c>
      <c r="J24" s="3" t="n">
        <v>2.8</v>
      </c>
      <c r="K24" s="2" t="inlineStr">
        <is>
          <t>m</t>
        </is>
      </c>
      <c r="L24" s="4">
        <f>IF(J24="","",H24*J24)</f>
        <v/>
      </c>
      <c r="M24" s="2" t="inlineStr">
        <is>
          <t>m²</t>
        </is>
      </c>
      <c r="N24" s="2" t="inlineStr">
        <is>
          <t>142</t>
        </is>
      </c>
      <c r="O24" s="4" t="n">
        <v>33</v>
      </c>
      <c r="P24" s="4" t="n">
        <v>-2</v>
      </c>
      <c r="Q24" s="4" t="n">
        <v>33</v>
      </c>
      <c r="R24" s="4" t="n">
        <v>-0.075</v>
      </c>
      <c r="S24" s="2" t="inlineStr"/>
    </row>
    <row r="25">
      <c r="A25" s="2" t="inlineStr">
        <is>
          <t>M-011</t>
        </is>
      </c>
      <c r="B25" s="2" t="inlineStr">
        <is>
          <t>Muro</t>
        </is>
      </c>
      <c r="C25" s="2" t="inlineStr">
        <is>
          <t>N1 Muro de 15cm</t>
        </is>
      </c>
      <c r="D25" s="3" t="n">
        <v>0.15</v>
      </c>
      <c r="E25" s="2" t="n"/>
      <c r="F25" s="2" t="n"/>
      <c r="G25" s="2" t="n"/>
      <c r="H25" s="4" t="n">
        <v>1.925</v>
      </c>
      <c r="I25" s="2" t="inlineStr">
        <is>
          <t>m</t>
        </is>
      </c>
      <c r="J25" s="3" t="n">
        <v>2.8</v>
      </c>
      <c r="K25" s="2" t="inlineStr">
        <is>
          <t>m</t>
        </is>
      </c>
      <c r="L25" s="4">
        <f>IF(J25="","",H25*J25)</f>
        <v/>
      </c>
      <c r="M25" s="2" t="inlineStr">
        <is>
          <t>m²</t>
        </is>
      </c>
      <c r="N25" s="2" t="inlineStr">
        <is>
          <t>14A</t>
        </is>
      </c>
      <c r="O25" s="4" t="n">
        <v>33</v>
      </c>
      <c r="P25" s="4" t="n">
        <v>0.075</v>
      </c>
      <c r="Q25" s="4" t="n">
        <v>33</v>
      </c>
      <c r="R25" s="4" t="n">
        <v>2</v>
      </c>
      <c r="S25" s="2" t="inlineStr"/>
    </row>
    <row r="26">
      <c r="A26" s="2" t="inlineStr">
        <is>
          <t>M-012</t>
        </is>
      </c>
      <c r="B26" s="2" t="inlineStr">
        <is>
          <t>Muro</t>
        </is>
      </c>
      <c r="C26" s="2" t="inlineStr">
        <is>
          <t>N1 Muro de 15cm</t>
        </is>
      </c>
      <c r="D26" s="3" t="n">
        <v>0.15</v>
      </c>
      <c r="E26" s="2" t="n"/>
      <c r="F26" s="2" t="n"/>
      <c r="G26" s="2" t="n"/>
      <c r="H26" s="4" t="n">
        <v>2.925</v>
      </c>
      <c r="I26" s="2" t="inlineStr">
        <is>
          <t>m</t>
        </is>
      </c>
      <c r="J26" s="3" t="n">
        <v>2.8</v>
      </c>
      <c r="K26" s="2" t="inlineStr">
        <is>
          <t>m</t>
        </is>
      </c>
      <c r="L26" s="4">
        <f>IF(J26="","",H26*J26)</f>
        <v/>
      </c>
      <c r="M26" s="2" t="inlineStr">
        <is>
          <t>m²</t>
        </is>
      </c>
      <c r="N26" s="2" t="inlineStr">
        <is>
          <t>152</t>
        </is>
      </c>
      <c r="O26" s="4" t="n">
        <v>23</v>
      </c>
      <c r="P26" s="4" t="n">
        <v>0.075</v>
      </c>
      <c r="Q26" s="4" t="n">
        <v>23</v>
      </c>
      <c r="R26" s="4" t="n">
        <v>3</v>
      </c>
      <c r="S26" s="2" t="inlineStr"/>
    </row>
    <row r="27">
      <c r="A27" s="2" t="inlineStr">
        <is>
          <t>M-013</t>
        </is>
      </c>
      <c r="B27" s="2" t="inlineStr">
        <is>
          <t>Muro</t>
        </is>
      </c>
      <c r="C27" s="2" t="inlineStr">
        <is>
          <t>N1 Muro de 15cm</t>
        </is>
      </c>
      <c r="D27" s="3" t="n">
        <v>0.15</v>
      </c>
      <c r="E27" s="2" t="n"/>
      <c r="F27" s="2" t="n"/>
      <c r="G27" s="2" t="n"/>
      <c r="H27" s="4" t="n">
        <v>2.925</v>
      </c>
      <c r="I27" s="2" t="inlineStr">
        <is>
          <t>m</t>
        </is>
      </c>
      <c r="J27" s="3" t="n">
        <v>2.8</v>
      </c>
      <c r="K27" s="2" t="inlineStr">
        <is>
          <t>m</t>
        </is>
      </c>
      <c r="L27" s="4">
        <f>IF(J27="","",H27*J27)</f>
        <v/>
      </c>
      <c r="M27" s="2" t="inlineStr">
        <is>
          <t>m²</t>
        </is>
      </c>
      <c r="N27" s="2" t="inlineStr">
        <is>
          <t>15A</t>
        </is>
      </c>
      <c r="O27" s="4" t="n">
        <v>10</v>
      </c>
      <c r="P27" s="4" t="n">
        <v>0.075</v>
      </c>
      <c r="Q27" s="4" t="n">
        <v>10</v>
      </c>
      <c r="R27" s="4" t="n">
        <v>3</v>
      </c>
      <c r="S27" s="2" t="inlineStr"/>
    </row>
    <row r="28">
      <c r="A28" s="2" t="inlineStr">
        <is>
          <t>M-014</t>
        </is>
      </c>
      <c r="B28" s="2" t="inlineStr">
        <is>
          <t>Muro</t>
        </is>
      </c>
      <c r="C28" s="2" t="inlineStr">
        <is>
          <t>N1 Muro de 10cm</t>
        </is>
      </c>
      <c r="D28" s="3" t="n">
        <v>0.1</v>
      </c>
      <c r="E28" s="2" t="n"/>
      <c r="F28" s="2" t="n"/>
      <c r="G28" s="2" t="n"/>
      <c r="H28" s="4" t="n">
        <v>2.9</v>
      </c>
      <c r="I28" s="2" t="inlineStr">
        <is>
          <t>m</t>
        </is>
      </c>
      <c r="J28" s="3" t="n">
        <v>2.8</v>
      </c>
      <c r="K28" s="2" t="inlineStr">
        <is>
          <t>m</t>
        </is>
      </c>
      <c r="L28" s="4">
        <f>IF(J28="","",H28*J28)</f>
        <v/>
      </c>
      <c r="M28" s="2" t="inlineStr">
        <is>
          <t>m²</t>
        </is>
      </c>
      <c r="N28" s="2" t="inlineStr">
        <is>
          <t>162</t>
        </is>
      </c>
      <c r="O28" s="4" t="n">
        <v>63</v>
      </c>
      <c r="P28" s="4" t="n">
        <v>0.09999999999999999</v>
      </c>
      <c r="Q28" s="4" t="n">
        <v>63</v>
      </c>
      <c r="R28" s="4" t="n">
        <v>3</v>
      </c>
      <c r="S2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  <col width="9" customWidth="1" min="4" max="4"/>
    <col width="12" customWidth="1" min="5" max="5"/>
    <col width="9" customWidth="1" min="6" max="6"/>
    <col width="12" customWidth="1" min="7" max="7"/>
    <col width="9" customWidth="1" min="8" max="8"/>
  </cols>
  <sheetData>
    <row r="1">
      <c r="A1" s="1" t="inlineStr">
        <is>
          <t>Elemento</t>
        </is>
      </c>
      <c r="B1" s="1" t="inlineStr">
        <is>
          <t>Capa</t>
        </is>
      </c>
      <c r="C1" s="1" t="inlineStr">
        <is>
          <t>Cantidad de objetos</t>
        </is>
      </c>
      <c r="D1" s="1" t="inlineStr">
        <is>
          <t>Unidad cantidad</t>
        </is>
      </c>
      <c r="E1" s="1" t="inlineStr">
        <is>
          <t>Longitud</t>
        </is>
      </c>
      <c r="F1" s="1" t="inlineStr">
        <is>
          <t>Unidad longitud</t>
        </is>
      </c>
      <c r="G1" s="1" t="inlineStr">
        <is>
          <t>Área</t>
        </is>
      </c>
      <c r="H1" s="1" t="inlineStr">
        <is>
          <t>Unidad área</t>
        </is>
      </c>
    </row>
    <row r="2">
      <c r="A2" s="2" t="inlineStr">
        <is>
          <t>Cimiento corrido</t>
        </is>
      </c>
      <c r="B2" s="2" t="inlineStr">
        <is>
          <t>Cimiento corrido CC-PRUEBA1 de 0.40 x 0.20 m</t>
        </is>
      </c>
      <c r="C2" s="2">
        <f>COUNTIFS(DATOS!$B$2:$B$28,A2,DATOS!$C$2:$C$28,B2)</f>
        <v/>
      </c>
      <c r="D2" s="2" t="inlineStr">
        <is>
          <t>u</t>
        </is>
      </c>
      <c r="E2" s="4">
        <f>SUMIFS(DATOS!$H$2:$H$28,DATOS!$B$2:$B$28,A2,DATOS!$C$2:$C$28,B2)</f>
        <v/>
      </c>
      <c r="F2" s="2" t="inlineStr">
        <is>
          <t>m</t>
        </is>
      </c>
      <c r="G2" s="2" t="n"/>
      <c r="H2" s="2" t="n"/>
    </row>
    <row r="3">
      <c r="A3" s="2" t="inlineStr">
        <is>
          <t>Cimiento corrido</t>
        </is>
      </c>
      <c r="B3" s="2" t="inlineStr">
        <is>
          <t>Cimiento corrido CC-PRUEBA2 de 0.50 x 0.20 m</t>
        </is>
      </c>
      <c r="C3" s="2">
        <f>COUNTIFS(DATOS!$B$2:$B$28,A3,DATOS!$C$2:$C$28,B3)</f>
        <v/>
      </c>
      <c r="D3" s="2" t="inlineStr">
        <is>
          <t>u</t>
        </is>
      </c>
      <c r="E3" s="4">
        <f>SUMIFS(DATOS!$H$2:$H$28,DATOS!$B$2:$B$28,A3,DATOS!$C$2:$C$28,B3)</f>
        <v/>
      </c>
      <c r="F3" s="2" t="inlineStr">
        <is>
          <t>m</t>
        </is>
      </c>
      <c r="G3" s="2" t="n"/>
      <c r="H3" s="2" t="n"/>
    </row>
    <row r="4">
      <c r="A4" s="2" t="inlineStr">
        <is>
          <t>Muro</t>
        </is>
      </c>
      <c r="B4" s="2" t="inlineStr">
        <is>
          <t>N1 Muro de 10cm</t>
        </is>
      </c>
      <c r="C4" s="2">
        <f>COUNTIFS(DATOS!$B$2:$B$28,A4,DATOS!$C$2:$C$28,B4)</f>
        <v/>
      </c>
      <c r="D4" s="2" t="inlineStr">
        <is>
          <t>u</t>
        </is>
      </c>
      <c r="E4" s="4">
        <f>SUMIFS(DATOS!$H$2:$H$28,DATOS!$B$2:$B$28,A4,DATOS!$C$2:$C$28,B4)</f>
        <v/>
      </c>
      <c r="F4" s="2" t="inlineStr">
        <is>
          <t>m</t>
        </is>
      </c>
      <c r="G4" s="4">
        <f>SUMIFS(DATOS!$L$2:$L$28,DATOS!$B$2:$B$28,A4,DATOS!$C$2:$C$28,B4)</f>
        <v/>
      </c>
      <c r="H4" s="2" t="inlineStr">
        <is>
          <t>m²</t>
        </is>
      </c>
    </row>
    <row r="5">
      <c r="A5" s="2" t="inlineStr">
        <is>
          <t>Muro</t>
        </is>
      </c>
      <c r="B5" s="2" t="inlineStr">
        <is>
          <t>N1 Muro de 15cm</t>
        </is>
      </c>
      <c r="C5" s="2">
        <f>COUNTIFS(DATOS!$B$2:$B$28,A5,DATOS!$C$2:$C$28,B5)</f>
        <v/>
      </c>
      <c r="D5" s="2" t="inlineStr">
        <is>
          <t>u</t>
        </is>
      </c>
      <c r="E5" s="4">
        <f>SUMIFS(DATOS!$H$2:$H$28,DATOS!$B$2:$B$28,A5,DATOS!$C$2:$C$28,B5)</f>
        <v/>
      </c>
      <c r="F5" s="2" t="inlineStr">
        <is>
          <t>m</t>
        </is>
      </c>
      <c r="G5" s="4">
        <f>SUMIFS(DATOS!$L$2:$L$28,DATOS!$B$2:$B$28,A5,DATOS!$C$2:$C$28,B5)</f>
        <v/>
      </c>
      <c r="H5" s="2" t="inlineStr">
        <is>
          <t>m²</t>
        </is>
      </c>
    </row>
    <row r="6">
      <c r="A6" s="2" t="inlineStr">
        <is>
          <t>Muro</t>
        </is>
      </c>
      <c r="B6" s="2" t="inlineStr">
        <is>
          <t>N1 Muro de 20cm</t>
        </is>
      </c>
      <c r="C6" s="2">
        <f>COUNTIFS(DATOS!$B$2:$B$28,A6,DATOS!$C$2:$C$28,B6)</f>
        <v/>
      </c>
      <c r="D6" s="2" t="inlineStr">
        <is>
          <t>u</t>
        </is>
      </c>
      <c r="E6" s="4">
        <f>SUMIFS(DATOS!$H$2:$H$28,DATOS!$B$2:$B$28,A6,DATOS!$C$2:$C$28,B6)</f>
        <v/>
      </c>
      <c r="F6" s="2" t="inlineStr">
        <is>
          <t>m</t>
        </is>
      </c>
      <c r="G6" s="4">
        <f>SUMIFS(DATOS!$L$2:$L$28,DATOS!$B$2:$B$28,A6,DATOS!$C$2:$C$28,B6)</f>
        <v/>
      </c>
      <c r="H6" s="2" t="inlineStr">
        <is>
          <t>m²</t>
        </is>
      </c>
    </row>
    <row r="7">
      <c r="A7" s="2" t="inlineStr">
        <is>
          <t>Vano puerta</t>
        </is>
      </c>
      <c r="B7" s="2" t="inlineStr">
        <is>
          <t>N1 Muro de 15cm - Vano puerta</t>
        </is>
      </c>
      <c r="C7" s="2">
        <f>COUNTIFS(DATOS!$B$2:$B$28,A7,DATOS!$C$2:$C$28,B7)</f>
        <v/>
      </c>
      <c r="D7" s="2" t="inlineStr">
        <is>
          <t>u</t>
        </is>
      </c>
      <c r="E7" s="4">
        <f>SUMIFS(DATOS!$H$2:$H$28,DATOS!$B$2:$B$28,A7,DATOS!$C$2:$C$28,B7)</f>
        <v/>
      </c>
      <c r="F7" s="2" t="inlineStr">
        <is>
          <t>m</t>
        </is>
      </c>
      <c r="G7" s="2" t="n"/>
      <c r="H7" s="2" t="n"/>
    </row>
    <row r="9">
      <c r="A9" s="5" t="inlineStr">
        <is>
          <t>Total Cimiento corrido</t>
        </is>
      </c>
      <c r="B9" s="5" t="inlineStr">
        <is>
          <t>(todas las capas)</t>
        </is>
      </c>
      <c r="C9" s="5">
        <f>COUNTIFS(DATOS!$B$2:$B$28,"Cimiento corrido")</f>
        <v/>
      </c>
      <c r="D9" s="5" t="inlineStr">
        <is>
          <t>u</t>
        </is>
      </c>
      <c r="E9" s="6">
        <f>SUMIFS(DATOS!$H$2:$H$28,DATOS!$B$2:$B$28,"Cimiento corrido")</f>
        <v/>
      </c>
      <c r="F9" s="5" t="inlineStr">
        <is>
          <t>m</t>
        </is>
      </c>
      <c r="G9" s="5" t="n"/>
      <c r="H9" s="5" t="n"/>
    </row>
    <row r="10">
      <c r="A10" s="5" t="inlineStr">
        <is>
          <t>Total Muro</t>
        </is>
      </c>
      <c r="B10" s="5" t="inlineStr">
        <is>
          <t>(todas las capas)</t>
        </is>
      </c>
      <c r="C10" s="5">
        <f>COUNTIFS(DATOS!$B$2:$B$28,"Muro")</f>
        <v/>
      </c>
      <c r="D10" s="5" t="inlineStr">
        <is>
          <t>u</t>
        </is>
      </c>
      <c r="E10" s="6">
        <f>SUMIFS(DATOS!$H$2:$H$28,DATOS!$B$2:$B$28,"Muro")</f>
        <v/>
      </c>
      <c r="F10" s="5" t="inlineStr">
        <is>
          <t>m</t>
        </is>
      </c>
      <c r="G10" s="6">
        <f>SUMIFS(DATOS!$L$2:$L$28,DATOS!$B$2:$B$28,"Muro")</f>
        <v/>
      </c>
      <c r="H10" s="5" t="inlineStr">
        <is>
          <t>m²</t>
        </is>
      </c>
    </row>
    <row r="11">
      <c r="A11" s="5" t="inlineStr">
        <is>
          <t>Total Vano puerta</t>
        </is>
      </c>
      <c r="B11" s="5" t="inlineStr">
        <is>
          <t>(todas las capas)</t>
        </is>
      </c>
      <c r="C11" s="5">
        <f>COUNTIFS(DATOS!$B$2:$B$28,"Vano puerta")</f>
        <v/>
      </c>
      <c r="D11" s="5" t="inlineStr">
        <is>
          <t>u</t>
        </is>
      </c>
      <c r="E11" s="6">
        <f>SUMIFS(DATOS!$H$2:$H$28,DATOS!$B$2:$B$28,"Vano puerta")</f>
        <v/>
      </c>
      <c r="F11" s="5" t="inlineStr">
        <is>
          <t>m</t>
        </is>
      </c>
      <c r="G11" s="5" t="n"/>
      <c r="H11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2" customWidth="1" min="4" max="4"/>
    <col width="30" customWidth="1" min="5" max="5"/>
    <col width="70" customWidth="1" min="6" max="6"/>
    <col width="24" customWidth="1" min="8" max="8"/>
  </cols>
  <sheetData>
    <row r="1">
      <c r="A1" s="1" t="inlineStr">
        <is>
          <t>Marca</t>
        </is>
      </c>
      <c r="B1" s="1" t="inlineStr">
        <is>
          <t>Motivo</t>
        </is>
      </c>
      <c r="C1" s="1" t="inlineStr">
        <is>
          <t>X (m)</t>
        </is>
      </c>
      <c r="D1" s="1" t="inlineStr">
        <is>
          <t>Y (m)</t>
        </is>
      </c>
      <c r="E1" s="1" t="inlineStr">
        <is>
          <t>Handles de origen</t>
        </is>
      </c>
      <c r="F1" s="1" t="inlineStr">
        <is>
          <t>Detalle</t>
        </is>
      </c>
      <c r="H1" s="1" t="inlineStr">
        <is>
          <t>Motivo</t>
        </is>
      </c>
      <c r="I1" s="1" t="inlineStr">
        <is>
          <t>Marcas</t>
        </is>
      </c>
    </row>
    <row r="2">
      <c r="A2" s="2" t="inlineStr">
        <is>
          <t>R001</t>
        </is>
      </c>
      <c r="B2" s="2" t="inlineStr">
        <is>
          <t>eje muy corto</t>
        </is>
      </c>
      <c r="C2" s="4" t="n">
        <v>80.06</v>
      </c>
      <c r="D2" s="4" t="n">
        <v>0</v>
      </c>
      <c r="E2" s="2" t="inlineStr">
        <is>
          <t>A9</t>
        </is>
      </c>
      <c r="F2" s="2" t="inlineStr">
        <is>
          <t>eje de 0.120 m (&lt; 0.2 m), espesor 0.15 m</t>
        </is>
      </c>
      <c r="H2" s="2" t="inlineStr">
        <is>
          <t>eje muy corto</t>
        </is>
      </c>
      <c r="I2" s="2">
        <f>COUNTIF($B$2:$B$4,H2)</f>
        <v/>
      </c>
    </row>
    <row r="3">
      <c r="A3" s="2" t="inlineStr">
        <is>
          <t>R002</t>
        </is>
      </c>
      <c r="B3" s="2" t="inlineStr">
        <is>
          <t>espesor fuera de lista</t>
        </is>
      </c>
      <c r="C3" s="4" t="n">
        <v>71.5</v>
      </c>
      <c r="D3" s="4" t="n">
        <v>0</v>
      </c>
      <c r="E3" s="2" t="inlineStr">
        <is>
          <t>A5, A6, A7, A8</t>
        </is>
      </c>
      <c r="F3" s="2" t="inlineStr">
        <is>
          <t>par de líneas a 0.250 m en 3.000 m (lista: 0.10, 0.15, 0.20)</t>
        </is>
      </c>
      <c r="H3" s="2" t="inlineStr">
        <is>
          <t>espesor fuera de lista</t>
        </is>
      </c>
      <c r="I3" s="2">
        <f>COUNTIF($B$2:$B$4,H3)</f>
        <v/>
      </c>
    </row>
    <row r="4">
      <c r="A4" s="2" t="inlineStr">
        <is>
          <t>R003</t>
        </is>
      </c>
      <c r="B4" s="2" t="inlineStr">
        <is>
          <t>segmento sin pareja</t>
        </is>
      </c>
      <c r="C4" s="4" t="n">
        <v>51</v>
      </c>
      <c r="D4" s="4" t="n">
        <v>0</v>
      </c>
      <c r="E4" s="2" t="inlineStr">
        <is>
          <t>A4</t>
        </is>
      </c>
      <c r="F4" s="2" t="inlineStr">
        <is>
          <t>sin paralela a distancia de muro; sin reconocer 2.000 de 2.000 m</t>
        </is>
      </c>
      <c r="H4" s="2" t="inlineStr">
        <is>
          <t>segmento sin pareja</t>
        </is>
      </c>
      <c r="I4" s="2">
        <f>COUNTIF($B$2:$B$4,H4)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0" customWidth="1" min="2" max="2"/>
    <col width="10" customWidth="1" min="3" max="3"/>
  </cols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Plano original</t>
        </is>
      </c>
      <c r="B2" s="2" t="inlineStr">
        <is>
          <t>/home/user/AGENTES-DE-CLOUDE/cuantificador/tests/prueba_muros.dxf</t>
        </is>
      </c>
      <c r="C2" s="2" t="inlineStr"/>
    </row>
    <row r="3">
      <c r="A3" s="2" t="inlineStr">
        <is>
          <t>sha256 original</t>
        </is>
      </c>
      <c r="B3" s="2" t="inlineStr">
        <is>
          <t>ecc79badd04017f4b0d76ea839f6dd5d716a4b1a6e04d10c3c1ab8b150e4ff56</t>
        </is>
      </c>
      <c r="C3" s="2" t="inlineStr"/>
    </row>
    <row r="4">
      <c r="A4" s="2" t="inlineStr">
        <is>
          <t>Copia de trabajo</t>
        </is>
      </c>
      <c r="B4" s="2" t="inlineStr">
        <is>
          <t>ejemplos/SALIDA_prueba_muros_2026-10-15_184105/prueba_muros - COPIA ORIGINAL.dxf</t>
        </is>
      </c>
      <c r="C4" s="2" t="inlineStr"/>
    </row>
    <row r="5">
      <c r="A5" s="2" t="inlineStr">
        <is>
          <t>DXF de salida</t>
        </is>
      </c>
      <c r="B5" s="2" t="inlineStr">
        <is>
          <t>ejemplos/SALIDA_prueba_muros_2026-10-15_184105/prueba_muros - CUANT.dxf</t>
        </is>
      </c>
      <c r="C5" s="2" t="inlineStr"/>
    </row>
    <row r="6">
      <c r="A6" s="2" t="inlineStr">
        <is>
          <t>Capas de origen</t>
        </is>
      </c>
      <c r="B6" s="2" t="inlineStr">
        <is>
          <t>A-MURO</t>
        </is>
      </c>
      <c r="C6" s="2" t="inlineStr"/>
    </row>
    <row r="7">
      <c r="A7" s="2" t="inlineStr">
        <is>
          <t>$INSUNITS</t>
        </is>
      </c>
      <c r="B7" s="2" t="inlineStr">
        <is>
          <t>6 (m)</t>
        </is>
      </c>
      <c r="C7" s="2" t="inlineStr"/>
    </row>
    <row r="8">
      <c r="A8" s="2" t="inlineStr">
        <is>
          <t>Factor a metros</t>
        </is>
      </c>
      <c r="B8" s="2" t="n">
        <v>1</v>
      </c>
      <c r="C8" s="2" t="inlineStr">
        <is>
          <t>m/unidad</t>
        </is>
      </c>
    </row>
    <row r="9">
      <c r="A9" s="2" t="inlineStr">
        <is>
          <t>Espesores</t>
        </is>
      </c>
      <c r="B9" s="2" t="inlineStr">
        <is>
          <t>0.10, 0.15, 0.20</t>
        </is>
      </c>
      <c r="C9" s="2" t="inlineStr">
        <is>
          <t>m</t>
        </is>
      </c>
    </row>
    <row r="10">
      <c r="A10" s="2" t="inlineStr">
        <is>
          <t>Nivel</t>
        </is>
      </c>
      <c r="B10" s="2" t="inlineStr">
        <is>
          <t>N1</t>
        </is>
      </c>
      <c r="C10" s="2" t="inlineStr"/>
    </row>
    <row r="11">
      <c r="A11" s="2" t="inlineStr">
        <is>
          <t>Altura de muro</t>
        </is>
      </c>
      <c r="B11" s="2" t="n">
        <v>2.8</v>
      </c>
      <c r="C11" s="2" t="inlineStr">
        <is>
          <t>m</t>
        </is>
      </c>
    </row>
    <row r="12">
      <c r="A12" s="2" t="inlineStr">
        <is>
          <t>Tolerancia de espesor</t>
        </is>
      </c>
      <c r="B12" s="2" t="n">
        <v>0.005</v>
      </c>
      <c r="C12" s="2" t="inlineStr">
        <is>
          <t>m</t>
        </is>
      </c>
    </row>
    <row r="13">
      <c r="A13" s="2" t="inlineStr">
        <is>
          <t>Tolerancia angular</t>
        </is>
      </c>
      <c r="B13" s="2" t="n">
        <v>0.5</v>
      </c>
      <c r="C13" s="2" t="inlineStr">
        <is>
          <t>°</t>
        </is>
      </c>
    </row>
    <row r="14">
      <c r="A14" s="2" t="inlineStr">
        <is>
          <t>Unión de ejes colineales hasta</t>
        </is>
      </c>
      <c r="B14" s="2" t="n">
        <v>0.25</v>
      </c>
      <c r="C14" s="2" t="inlineStr">
        <is>
          <t>m</t>
        </is>
      </c>
    </row>
    <row r="15">
      <c r="A15" s="2" t="inlineStr">
        <is>
          <t>Vano de puerta</t>
        </is>
      </c>
      <c r="B15" s="2" t="inlineStr">
        <is>
          <t>0.6 a 2.05</t>
        </is>
      </c>
      <c r="C15" s="2" t="inlineStr">
        <is>
          <t>m</t>
        </is>
      </c>
    </row>
    <row r="16">
      <c r="A16" s="2" t="inlineStr">
        <is>
          <t>Umbral de eje corto</t>
        </is>
      </c>
      <c r="B16" s="2" t="n">
        <v>0.2</v>
      </c>
      <c r="C16" s="2" t="inlineStr">
        <is>
          <t>m</t>
        </is>
      </c>
    </row>
    <row r="17">
      <c r="A17" s="2" t="inlineStr">
        <is>
          <t>Snap de esquinas</t>
        </is>
      </c>
      <c r="B17" s="2" t="n">
        <v>0.03</v>
      </c>
      <c r="C17" s="2" t="inlineStr">
        <is>
          <t>m</t>
        </is>
      </c>
    </row>
    <row r="18">
      <c r="A18" s="2" t="inlineStr">
        <is>
          <t>Reglas de cimiento</t>
        </is>
      </c>
      <c r="B18" s="2" t="inlineStr">
        <is>
          <t>{"0.10": {"con_cimiento": false}, "0.15": {"con_cimiento": true, "tipo": "CC-PRUEBA1", "ancho": 0.4, "peralte": 0.2, "color": 2}, "0.20": {"con_cimiento": true, "tipo": "CC-PRUEBA2", "ancho": 0.5, "peralte": 0.2, "color": 4}}</t>
        </is>
      </c>
      <c r="C18" s="2" t="inlineStr"/>
    </row>
    <row r="19">
      <c r="A19" s="2" t="inlineStr">
        <is>
          <t>Fecha</t>
        </is>
      </c>
      <c r="B19" s="2" t="inlineStr">
        <is>
          <t>2026-10-15 18:41:05</t>
        </is>
      </c>
      <c r="C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2026-10-15T18:41:05Z</dcterms:created>
  <dcterms:modified xsi:type="dcterms:W3CDTF">2026-10-15T18:41:05Z</dcterms:modified>
</cp:coreProperties>
</file>