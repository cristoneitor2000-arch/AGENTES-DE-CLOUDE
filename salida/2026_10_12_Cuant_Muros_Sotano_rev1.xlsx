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Vanos" sheetId="4" state="visible" r:id="rId4"/>
    <sheet xmlns:r="http://schemas.openxmlformats.org/officeDocument/2006/relationships" name="Pend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46" customWidth="1" min="9" max="9"/>
  </cols>
  <sheetData>
    <row r="1">
      <c r="A1" s="1" t="inlineStr">
        <is>
          <t>RESUMEN DE CUANTIFICACIÓN – MUROS SÓTANO</t>
        </is>
      </c>
    </row>
    <row r="2">
      <c r="A2" s="2" t="inlineStr">
        <is>
          <t>Proyecto: Casa JPS – Sótano | Planos S-1 (DXF), S-7 y S-8 (PDF) | Rev. 1 – 2026-10-12 | Unidades: m, m²</t>
        </is>
      </c>
    </row>
    <row r="3">
      <c r="D3" s="3" t="inlineStr">
        <is>
          <t>ml</t>
        </is>
      </c>
      <c r="E3" s="3" t="inlineStr">
        <is>
          <t>m</t>
        </is>
      </c>
      <c r="F3" s="3" t="inlineStr">
        <is>
          <t>m²</t>
        </is>
      </c>
      <c r="G3" s="3" t="inlineStr">
        <is>
          <t>m²</t>
        </is>
      </c>
      <c r="H3" s="3" t="inlineStr">
        <is>
          <t>m²</t>
        </is>
      </c>
    </row>
    <row r="4">
      <c r="A4" s="4" t="inlineStr">
        <is>
          <t>No.</t>
        </is>
      </c>
      <c r="B4" s="4" t="inlineStr">
        <is>
          <t>Elemento</t>
        </is>
      </c>
      <c r="C4" s="4" t="inlineStr">
        <is>
          <t>Espesor</t>
        </is>
      </c>
      <c r="D4" s="4" t="inlineStr">
        <is>
          <t>Longitud</t>
        </is>
      </c>
      <c r="E4" s="4" t="inlineStr">
        <is>
          <t>Altura total</t>
        </is>
      </c>
      <c r="F4" s="4" t="inlineStr">
        <is>
          <t>Área bruta</t>
        </is>
      </c>
      <c r="G4" s="4" t="inlineStr">
        <is>
          <t>(−) Vanos</t>
        </is>
      </c>
      <c r="H4" s="4" t="inlineStr">
        <is>
          <t>Área neta</t>
        </is>
      </c>
      <c r="I4" s="4" t="inlineStr">
        <is>
          <t>Observaciones</t>
        </is>
      </c>
    </row>
    <row r="5">
      <c r="A5" s="5" t="inlineStr">
        <is>
          <t>A. MUROS DE EDIFICACIÓN</t>
        </is>
      </c>
      <c r="B5" s="6" t="n"/>
      <c r="C5" s="6" t="n"/>
      <c r="D5" s="6" t="n"/>
      <c r="E5" s="6" t="n"/>
      <c r="F5" s="6" t="n"/>
      <c r="G5" s="6" t="n"/>
      <c r="H5" s="6" t="n"/>
      <c r="I5" s="7" t="n"/>
    </row>
    <row r="6">
      <c r="A6" s="8" t="n">
        <v>1</v>
      </c>
      <c r="B6" s="9" t="inlineStr">
        <is>
          <t>Muro block 0.20 que carga</t>
        </is>
      </c>
      <c r="C6" s="10" t="n">
        <v>0.2</v>
      </c>
      <c r="D6" s="10">
        <f>SUMIF(Muros!$C$5:$C$68,B6,Muros!$F$5:$F$68)</f>
        <v/>
      </c>
      <c r="E6" s="10">
        <f>IF(Parámetros!$B$5="","pendiente",Parámetros!$B$5)</f>
        <v/>
      </c>
      <c r="F6" s="10">
        <f>IF(Parámetros!$B$5="","pendiente",D6*Parámetros!$B$5)</f>
        <v/>
      </c>
      <c r="G6" s="10">
        <f>IF(COUNTIF(Vanos!$C$5:$C$9,B6)=0,0,IF(Parámetros!$B$7="","pendiente",SUMIF(Vanos!$C$5:$C$9,B6,Vanos!$D$5:$D$9)*Parámetros!$B$7))</f>
        <v/>
      </c>
      <c r="H6" s="10">
        <f>IF(OR(F6="pendiente",G6="pendiente"),"pendiente",F6-G6)</f>
        <v/>
      </c>
      <c r="I6" s="9" t="inlineStr"/>
    </row>
    <row r="7">
      <c r="A7" s="8" t="n">
        <v>2</v>
      </c>
      <c r="B7" s="9" t="inlineStr">
        <is>
          <t>Muro block 0.15 que carga</t>
        </is>
      </c>
      <c r="C7" s="10" t="n">
        <v>0.15</v>
      </c>
      <c r="D7" s="10">
        <f>SUMIF(Muros!$C$5:$C$68,B7,Muros!$F$5:$F$68)</f>
        <v/>
      </c>
      <c r="E7" s="10">
        <f>IF(Parámetros!$B$5="","pendiente",Parámetros!$B$5)</f>
        <v/>
      </c>
      <c r="F7" s="10">
        <f>IF(Parámetros!$B$5="","pendiente",D7*Parámetros!$B$5)</f>
        <v/>
      </c>
      <c r="G7" s="10">
        <f>IF(COUNTIF(Vanos!$C$5:$C$9,B7)=0,0,IF(Parámetros!$B$7="","pendiente",SUMIF(Vanos!$C$5:$C$9,B7,Vanos!$D$5:$D$9)*Parámetros!$B$7))</f>
        <v/>
      </c>
      <c r="H7" s="10">
        <f>IF(OR(F7="pendiente",G7="pendiente"),"pendiente",F7-G7)</f>
        <v/>
      </c>
      <c r="I7" s="9" t="inlineStr"/>
    </row>
    <row r="8">
      <c r="A8" s="8" t="n">
        <v>3</v>
      </c>
      <c r="B8" s="9" t="inlineStr">
        <is>
          <t>Muro block 0.15 que no carga</t>
        </is>
      </c>
      <c r="C8" s="10" t="n">
        <v>0.15</v>
      </c>
      <c r="D8" s="10">
        <f>SUMIF(Muros!$C$5:$C$68,B8,Muros!$F$5:$F$68)</f>
        <v/>
      </c>
      <c r="E8" s="10">
        <f>IF(Parámetros!$B$5="","pendiente",Parámetros!$B$5)</f>
        <v/>
      </c>
      <c r="F8" s="10">
        <f>IF(Parámetros!$B$5="","pendiente",D8*Parámetros!$B$5)</f>
        <v/>
      </c>
      <c r="G8" s="10">
        <f>IF(COUNTIF(Vanos!$C$5:$C$9,B8)=0,0,IF(Parámetros!$B$7="","pendiente",SUMIF(Vanos!$C$5:$C$9,B8,Vanos!$D$5:$D$9)*Parámetros!$B$7))</f>
        <v/>
      </c>
      <c r="H8" s="10">
        <f>IF(OR(F8="pendiente",G8="pendiente"),"pendiente",F8-G8)</f>
        <v/>
      </c>
      <c r="I8" s="9" t="inlineStr">
        <is>
          <t>Incluye M-40, M-41, M-42 y M-49 (11.63 ml) paralelos al MC1 → RFI</t>
        </is>
      </c>
    </row>
    <row r="9">
      <c r="A9" s="5" t="inlineStr">
        <is>
          <t>B. MURO DE CONTENCIÓN MC1 (grupo independiente)</t>
        </is>
      </c>
      <c r="B9" s="6" t="n"/>
      <c r="C9" s="6" t="n"/>
      <c r="D9" s="6" t="n"/>
      <c r="E9" s="6" t="n"/>
      <c r="F9" s="6" t="n"/>
      <c r="G9" s="6" t="n"/>
      <c r="H9" s="6" t="n"/>
      <c r="I9" s="7" t="n"/>
    </row>
    <row r="10">
      <c r="A10" s="8" t="n">
        <v>4</v>
      </c>
      <c r="B10" s="9" t="inlineStr">
        <is>
          <t>Muro MC1 block doble hilada 0.15+0.15</t>
        </is>
      </c>
      <c r="C10" s="10" t="n">
        <v>0.3</v>
      </c>
      <c r="D10" s="10">
        <f>SUMIF(Muros!$C$5:$C$68,B10,Muros!$F$5:$F$68)</f>
        <v/>
      </c>
      <c r="E10" s="10">
        <f>IF(Parámetros!$B$6="","pendiente",Parámetros!$B$6)</f>
        <v/>
      </c>
      <c r="F10" s="10">
        <f>IF(Parámetros!$B$6="","pendiente",D10*Parámetros!$B$6)</f>
        <v/>
      </c>
      <c r="G10" s="10">
        <f>IF(COUNTIF(Vanos!$C$5:$C$9,B10)=0,0,IF(Parámetros!$B$7="","pendiente",SUMIF(Vanos!$C$5:$C$9,B10,Vanos!$D$5:$D$9)*Parámetros!$B$7))</f>
        <v/>
      </c>
      <c r="H10" s="10">
        <f>IF(OR(F10="pendiente",G10="pendiente"),"pendiente",F10-G10)</f>
        <v/>
      </c>
      <c r="I10" s="9" t="inlineStr">
        <is>
          <t>Excluye huecos de columnas C; ver Pendientes</t>
        </is>
      </c>
    </row>
    <row r="12">
      <c r="A12" s="2" t="inlineStr">
        <is>
          <t>Longitud = eje de cada tramo de block dibujado en planta; en vanos el muro corre continuo a ALTURA TOTAL y el área del vano se deduce aparte (hoja Vanos).</t>
        </is>
      </c>
    </row>
    <row r="13">
      <c r="A13" s="2" t="inlineStr">
        <is>
          <t>Columnas, mochetas y huecos de 0.10–0.85 m entre tramos no se cuentan como muro (16 huecos, ver Pendientes).</t>
        </is>
      </c>
    </row>
  </sheetData>
  <mergeCells count="4">
    <mergeCell ref="A5:I5"/>
    <mergeCell ref="A9:I9"/>
    <mergeCell ref="A13:I13"/>
    <mergeCell ref="A12:I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PARÁMETROS</t>
        </is>
      </c>
    </row>
    <row r="2">
      <c r="A2" s="2" t="inlineStr">
        <is>
          <t>Proyecto: Casa JPS – Sótano | Planos S-1 (DXF), S-7 y S-8 (PDF) | Rev. 1 – 2026-10-12 | Unidades: m, m² | Verde = medido en cortes | Amarillo = supuesto editable</t>
        </is>
      </c>
    </row>
    <row r="4">
      <c r="A4" s="4" t="inlineStr">
        <is>
          <t>Parámetro</t>
        </is>
      </c>
      <c r="B4" s="4" t="inlineStr">
        <is>
          <t>Valor</t>
        </is>
      </c>
      <c r="C4" s="4" t="inlineStr">
        <is>
          <t>Unidad</t>
        </is>
      </c>
      <c r="D4" s="4" t="inlineStr">
        <is>
          <t>Fuente / estado</t>
        </is>
      </c>
    </row>
    <row r="5">
      <c r="A5" s="9" t="inlineStr">
        <is>
          <t>Altura total muros de edificación (sótano)</t>
        </is>
      </c>
      <c r="B5" s="11" t="n">
        <v>4.3</v>
      </c>
      <c r="C5" s="8" t="inlineStr">
        <is>
          <t>m</t>
        </is>
      </c>
      <c r="D5" s="9" t="inlineStr">
        <is>
          <t>Corona CC1 −4.65 a NPT −0.35 (losa). Medido en S-7 Secc. A/B y S-8 Secc. C/D</t>
        </is>
      </c>
    </row>
    <row r="6">
      <c r="A6" s="9" t="inlineStr">
        <is>
          <t>Altura total muro MC1</t>
        </is>
      </c>
      <c r="B6" s="11" t="n">
        <v>4.3</v>
      </c>
      <c r="C6" s="8" t="inlineStr">
        <is>
          <t>m</t>
        </is>
      </c>
      <c r="D6" s="9" t="inlineStr">
        <is>
          <t>Corona MC1 −4.65 a NPT −0.35 (cara sup. SR1 = losa). S-7 A/B, S-8 C/D</t>
        </is>
      </c>
    </row>
    <row r="7">
      <c r="A7" s="9" t="inlineStr">
        <is>
          <t>Altura de vanos de puerta</t>
        </is>
      </c>
      <c r="B7" s="12" t="n">
        <v>2.1</v>
      </c>
      <c r="C7" s="8" t="inlineStr">
        <is>
          <t>m</t>
        </is>
      </c>
      <c r="D7" s="9" t="inlineStr">
        <is>
          <t>[Supuesto] puerta estándar; no hay plano arquitectónico. SOLO para deducir el vano, el muro va a altura total</t>
        </is>
      </c>
    </row>
    <row r="9">
      <c r="A9" s="13" t="inlineStr">
        <is>
          <t>Niveles y soleras dentro de la altura total (S-7 / S-8, medidos a escala ±0.01 m)</t>
        </is>
      </c>
    </row>
    <row r="10">
      <c r="A10" s="9" t="inlineStr">
        <is>
          <t>NPT losa sobre sótano</t>
        </is>
      </c>
      <c r="B10" s="8" t="inlineStr">
        <is>
          <t>−0.35</t>
        </is>
      </c>
      <c r="C10" s="8" t="inlineStr"/>
      <c r="D10" s="9" t="inlineStr">
        <is>
          <t>S-7/S-8; zona con losa en NPT 0.00 entre ejes 6–5 (S-7 Secc. A) → muros +0.35 m, ubicar con xref de ejes</t>
        </is>
      </c>
    </row>
    <row r="11">
      <c r="A11" s="9" t="inlineStr">
        <is>
          <t>NPT piso sótano (cara sup. contrapiso)</t>
        </is>
      </c>
      <c r="B11" s="8" t="inlineStr">
        <is>
          <t>−3.85</t>
        </is>
      </c>
      <c r="C11" s="8" t="inlineStr"/>
      <c r="D11" s="9" t="inlineStr">
        <is>
          <t>S-7/S-8</t>
        </is>
      </c>
    </row>
    <row r="12">
      <c r="A12" s="9" t="inlineStr">
        <is>
          <t>Corona de cimiento CC1 / MC1</t>
        </is>
      </c>
      <c r="B12" s="8" t="inlineStr">
        <is>
          <t>−4.65</t>
        </is>
      </c>
      <c r="C12" s="8" t="inlineStr"/>
      <c r="D12" s="9" t="inlineStr">
        <is>
          <t>Lectura −4.64</t>
        </is>
      </c>
    </row>
    <row r="13">
      <c r="A13" s="9" t="inlineStr">
        <is>
          <t>Fondo de cimiento</t>
        </is>
      </c>
      <c r="B13" s="8" t="inlineStr">
        <is>
          <t>−4.95</t>
        </is>
      </c>
      <c r="C13" s="8" t="inlineStr"/>
      <c r="D13" s="9" t="inlineStr">
        <is>
          <t>+ concreto pobre 0.04 → −4.99</t>
        </is>
      </c>
    </row>
    <row r="14">
      <c r="A14" s="9" t="inlineStr">
        <is>
          <t>Soleras en muro MC1 (de abajo hacia arriba)</t>
        </is>
      </c>
      <c r="B14" s="8" t="inlineStr">
        <is>
          <t>SH2, S1, S1, S8, SR1</t>
        </is>
      </c>
      <c r="C14" s="8" t="inlineStr"/>
      <c r="D14" s="9" t="inlineStr">
        <is>
          <t>SH2 0.30×0.20; S1 0.30×0.20; S8 0.10×0.30; SR1 0.30×0.40 (tabla de soleras S-7)</t>
        </is>
      </c>
    </row>
    <row r="15">
      <c r="A15" s="9" t="inlineStr">
        <is>
          <t>Soleras en muros interiores sobre CC1</t>
        </is>
      </c>
      <c r="B15" s="8" t="inlineStr">
        <is>
          <t>SH3, SU2, SU2, SR16 / viga</t>
        </is>
      </c>
      <c r="C15" s="8" t="inlineStr"/>
      <c r="D15" s="9" t="inlineStr">
        <is>
          <t>SH3 0.20×0.20; SU2 block U 0.20×0.20; SR16 0.15×0.15; remate bajo vigas V8/V10</t>
        </is>
      </c>
    </row>
    <row r="16">
      <c r="A16" s="9" t="inlineStr">
        <is>
          <t>Muros que arrancan sobre zapata</t>
        </is>
      </c>
      <c r="B16" s="8" t="inlineStr">
        <is>
          <t>−4.40 a −4.50</t>
        </is>
      </c>
      <c r="C16" s="8" t="inlineStr"/>
      <c r="D16" s="9" t="inlineStr">
        <is>
          <t>Sobre Z2/Z3/Z5/Z7/Z8 el arranque sube 0.15–0.25 m; efecto &lt; 1 % del área total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0" customWidth="1" min="4" max="4"/>
    <col width="9" customWidth="1" min="5" max="5"/>
    <col width="11" customWidth="1" min="6" max="6"/>
    <col width="10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MUROS – EXTRACCIÓN POR TRAMO</t>
        </is>
      </c>
    </row>
    <row r="2">
      <c r="A2" s="2" t="inlineStr">
        <is>
          <t>Proyecto: Casa JPS – Sótano | Planos S-1 (DXF), S-7 y S-8 (PDF) | Rev. 1 – 2026-10-12 | Unidades: m, m²</t>
        </is>
      </c>
    </row>
    <row r="3">
      <c r="E3" s="2" t="inlineStr">
        <is>
          <t>m</t>
        </is>
      </c>
      <c r="F3" s="2" t="inlineStr">
        <is>
          <t>m</t>
        </is>
      </c>
      <c r="G3" s="2" t="inlineStr">
        <is>
          <t>m</t>
        </is>
      </c>
      <c r="H3" s="2" t="inlineStr">
        <is>
          <t>m²</t>
        </is>
      </c>
    </row>
    <row r="4">
      <c r="A4" s="4" t="inlineStr">
        <is>
          <t>ID</t>
        </is>
      </c>
      <c r="B4" s="4" t="inlineStr">
        <is>
          <t>Grupo</t>
        </is>
      </c>
      <c r="C4" s="4" t="inlineStr">
        <is>
          <t>Tipo</t>
        </is>
      </c>
      <c r="D4" s="4" t="inlineStr">
        <is>
          <t>Etiqueta plano</t>
        </is>
      </c>
      <c r="E4" s="4" t="inlineStr">
        <is>
          <t>Espesor</t>
        </is>
      </c>
      <c r="F4" s="4" t="inlineStr">
        <is>
          <t>Longitud eje</t>
        </is>
      </c>
      <c r="G4" s="4" t="inlineStr">
        <is>
          <t>Altura total</t>
        </is>
      </c>
      <c r="H4" s="4" t="inlineStr">
        <is>
          <t>Área bruta</t>
        </is>
      </c>
      <c r="I4" s="4" t="inlineStr">
        <is>
          <t>Vano</t>
        </is>
      </c>
      <c r="J4" s="4" t="inlineStr">
        <is>
          <t>Inicio X,Y</t>
        </is>
      </c>
      <c r="K4" s="4" t="inlineStr">
        <is>
          <t>Fin X,Y</t>
        </is>
      </c>
    </row>
    <row r="5">
      <c r="A5" s="8" t="inlineStr">
        <is>
          <t>M-54</t>
        </is>
      </c>
      <c r="B5" s="8" t="inlineStr">
        <is>
          <t>Edificación</t>
        </is>
      </c>
      <c r="C5" s="9" t="inlineStr">
        <is>
          <t>Muro block 0.20 que carga</t>
        </is>
      </c>
      <c r="D5" s="8" t="inlineStr">
        <is>
          <t>M21</t>
        </is>
      </c>
      <c r="E5" s="10" t="n">
        <v>0.2</v>
      </c>
      <c r="F5" s="10" t="n">
        <v>5.756</v>
      </c>
      <c r="G5" s="10">
        <f>IF(Parámetros!$B$5="","",Parámetros!$B$5)</f>
        <v/>
      </c>
      <c r="H5" s="10">
        <f>IF(G5="","",F5*G5)</f>
        <v/>
      </c>
      <c r="I5" s="8" t="inlineStr"/>
      <c r="J5" s="8" t="inlineStr">
        <is>
          <t>1.79, 1.53</t>
        </is>
      </c>
      <c r="K5" s="8" t="inlineStr">
        <is>
          <t>1.79, 7.29</t>
        </is>
      </c>
    </row>
    <row r="6">
      <c r="A6" s="8" t="inlineStr">
        <is>
          <t>M-55</t>
        </is>
      </c>
      <c r="B6" s="8" t="inlineStr">
        <is>
          <t>Edificación</t>
        </is>
      </c>
      <c r="C6" s="9" t="inlineStr">
        <is>
          <t>Muro block 0.20 que carga</t>
        </is>
      </c>
      <c r="D6" s="8" t="inlineStr"/>
      <c r="E6" s="10" t="n">
        <v>0.2</v>
      </c>
      <c r="F6" s="10" t="n">
        <v>5.09</v>
      </c>
      <c r="G6" s="10">
        <f>IF(Parámetros!$B$5="","",Parámetros!$B$5)</f>
        <v/>
      </c>
      <c r="H6" s="10">
        <f>IF(G6="","",F6*G6)</f>
        <v/>
      </c>
      <c r="I6" s="8" t="inlineStr"/>
      <c r="J6" s="8" t="inlineStr">
        <is>
          <t>1.99, -3.56</t>
        </is>
      </c>
      <c r="K6" s="8" t="inlineStr">
        <is>
          <t>1.99, 1.53</t>
        </is>
      </c>
    </row>
    <row r="7">
      <c r="A7" s="8" t="inlineStr">
        <is>
          <t>M-56</t>
        </is>
      </c>
      <c r="B7" s="8" t="inlineStr">
        <is>
          <t>Edificación</t>
        </is>
      </c>
      <c r="C7" s="9" t="inlineStr">
        <is>
          <t>Muro block 0.20 que carga</t>
        </is>
      </c>
      <c r="D7" s="8" t="inlineStr">
        <is>
          <t>M35</t>
        </is>
      </c>
      <c r="E7" s="10" t="n">
        <v>0.2</v>
      </c>
      <c r="F7" s="10" t="n">
        <v>3.178</v>
      </c>
      <c r="G7" s="10">
        <f>IF(Parámetros!$B$5="","",Parámetros!$B$5)</f>
        <v/>
      </c>
      <c r="H7" s="10">
        <f>IF(G7="","",F7*G7)</f>
        <v/>
      </c>
      <c r="I7" s="8" t="inlineStr"/>
      <c r="J7" s="8" t="inlineStr">
        <is>
          <t>4.14, 2.78</t>
        </is>
      </c>
      <c r="K7" s="8" t="inlineStr">
        <is>
          <t>5.37, 5.72</t>
        </is>
      </c>
    </row>
    <row r="8">
      <c r="A8" s="8" t="inlineStr">
        <is>
          <t>M-57</t>
        </is>
      </c>
      <c r="B8" s="8" t="inlineStr">
        <is>
          <t>Edificación</t>
        </is>
      </c>
      <c r="C8" s="9" t="inlineStr">
        <is>
          <t>Muro block 0.20 que carga</t>
        </is>
      </c>
      <c r="D8" s="8" t="inlineStr"/>
      <c r="E8" s="10" t="n">
        <v>0.2</v>
      </c>
      <c r="F8" s="10" t="n">
        <v>2.281</v>
      </c>
      <c r="G8" s="10">
        <f>IF(Parámetros!$B$5="","",Parámetros!$B$5)</f>
        <v/>
      </c>
      <c r="H8" s="10">
        <f>IF(G8="","",F8*G8)</f>
        <v/>
      </c>
      <c r="I8" s="8" t="inlineStr"/>
      <c r="J8" s="8" t="inlineStr">
        <is>
          <t>-19.59, -2.09</t>
        </is>
      </c>
      <c r="K8" s="8" t="inlineStr">
        <is>
          <t>-21.49, -0.83</t>
        </is>
      </c>
    </row>
    <row r="9">
      <c r="A9" s="8" t="inlineStr">
        <is>
          <t>M-58</t>
        </is>
      </c>
      <c r="B9" s="8" t="inlineStr">
        <is>
          <t>Edificación</t>
        </is>
      </c>
      <c r="C9" s="9" t="inlineStr">
        <is>
          <t>Muro block 0.20 que carga</t>
        </is>
      </c>
      <c r="D9" s="8" t="inlineStr"/>
      <c r="E9" s="10" t="n">
        <v>0.2</v>
      </c>
      <c r="F9" s="10" t="n">
        <v>1.84</v>
      </c>
      <c r="G9" s="10">
        <f>IF(Parámetros!$B$5="","",Parámetros!$B$5)</f>
        <v/>
      </c>
      <c r="H9" s="10">
        <f>IF(G9="","",F9*G9)</f>
        <v/>
      </c>
      <c r="I9" s="8" t="inlineStr"/>
      <c r="J9" s="8" t="inlineStr">
        <is>
          <t>5.56, 6.18</t>
        </is>
      </c>
      <c r="K9" s="8" t="inlineStr">
        <is>
          <t>6.27, 7.88</t>
        </is>
      </c>
    </row>
    <row r="10">
      <c r="A10" s="8" t="inlineStr">
        <is>
          <t>M-59</t>
        </is>
      </c>
      <c r="B10" s="8" t="inlineStr">
        <is>
          <t>Edificación</t>
        </is>
      </c>
      <c r="C10" s="9" t="inlineStr">
        <is>
          <t>Muro block 0.20 que carga</t>
        </is>
      </c>
      <c r="D10" s="8" t="inlineStr">
        <is>
          <t>M35</t>
        </is>
      </c>
      <c r="E10" s="10" t="n">
        <v>0.2</v>
      </c>
      <c r="F10" s="10" t="n">
        <v>1.378</v>
      </c>
      <c r="G10" s="10">
        <f>IF(Parámetros!$B$5="","",Parámetros!$B$5)</f>
        <v/>
      </c>
      <c r="H10" s="10">
        <f>IF(G10="","",F10*G10)</f>
        <v/>
      </c>
      <c r="I10" s="8" t="inlineStr"/>
      <c r="J10" s="8" t="inlineStr">
        <is>
          <t>3.53, 1.31</t>
        </is>
      </c>
      <c r="K10" s="8" t="inlineStr">
        <is>
          <t>4.06, 2.58</t>
        </is>
      </c>
    </row>
    <row r="11">
      <c r="A11" s="8" t="inlineStr">
        <is>
          <t>M-24</t>
        </is>
      </c>
      <c r="B11" s="8" t="inlineStr">
        <is>
          <t>Edificación</t>
        </is>
      </c>
      <c r="C11" s="9" t="inlineStr">
        <is>
          <t>Muro block 0.15 que carga</t>
        </is>
      </c>
      <c r="D11" s="8" t="inlineStr"/>
      <c r="E11" s="10" t="n">
        <v>0.15</v>
      </c>
      <c r="F11" s="10" t="n">
        <v>6.391</v>
      </c>
      <c r="G11" s="10">
        <f>IF(Parámetros!$B$5="","",Parámetros!$B$5)</f>
        <v/>
      </c>
      <c r="H11" s="10">
        <f>IF(G11="","",F11*G11)</f>
        <v/>
      </c>
      <c r="I11" s="8" t="inlineStr"/>
      <c r="J11" s="8" t="inlineStr">
        <is>
          <t>-10.56, -0.59</t>
        </is>
      </c>
      <c r="K11" s="8" t="inlineStr">
        <is>
          <t>-4.17, -0.59</t>
        </is>
      </c>
    </row>
    <row r="12">
      <c r="A12" s="8" t="inlineStr">
        <is>
          <t>M-24/V-01</t>
        </is>
      </c>
      <c r="B12" s="8" t="inlineStr">
        <is>
          <t>Edificación</t>
        </is>
      </c>
      <c r="C12" s="9" t="inlineStr">
        <is>
          <t>Muro block 0.15 que carga</t>
        </is>
      </c>
      <c r="D12" s="8" t="inlineStr"/>
      <c r="E12" s="10" t="n">
        <v>0.15</v>
      </c>
      <c r="F12" s="10" t="n">
        <v>0.7</v>
      </c>
      <c r="G12" s="10">
        <f>IF(Parámetros!$B$5="","",Parámetros!$B$5)</f>
        <v/>
      </c>
      <c r="H12" s="10">
        <f>IF(G12="","",F12*G12)</f>
        <v/>
      </c>
      <c r="I12" s="8" t="inlineStr">
        <is>
          <t>V-01</t>
        </is>
      </c>
      <c r="J12" s="8" t="inlineStr">
        <is>
          <t>-4.17, -0.59</t>
        </is>
      </c>
      <c r="K12" s="8" t="inlineStr">
        <is>
          <t>-3.47, -0.59</t>
        </is>
      </c>
    </row>
    <row r="13">
      <c r="A13" s="8" t="inlineStr">
        <is>
          <t>M-25</t>
        </is>
      </c>
      <c r="B13" s="8" t="inlineStr">
        <is>
          <t>Edificación</t>
        </is>
      </c>
      <c r="C13" s="9" t="inlineStr">
        <is>
          <t>Muro block 0.15 que carga</t>
        </is>
      </c>
      <c r="D13" s="8" t="inlineStr">
        <is>
          <t>M5</t>
        </is>
      </c>
      <c r="E13" s="10" t="n">
        <v>0.15</v>
      </c>
      <c r="F13" s="10" t="n">
        <v>6.153</v>
      </c>
      <c r="G13" s="10">
        <f>IF(Parámetros!$B$5="","",Parámetros!$B$5)</f>
        <v/>
      </c>
      <c r="H13" s="10">
        <f>IF(G13="","",F13*G13)</f>
        <v/>
      </c>
      <c r="I13" s="8" t="inlineStr"/>
      <c r="J13" s="8" t="inlineStr">
        <is>
          <t>-11.44, 1.58</t>
        </is>
      </c>
      <c r="K13" s="8" t="inlineStr">
        <is>
          <t>-11.44, 7.74</t>
        </is>
      </c>
    </row>
    <row r="14">
      <c r="A14" s="8" t="inlineStr">
        <is>
          <t>M-26</t>
        </is>
      </c>
      <c r="B14" s="8" t="inlineStr">
        <is>
          <t>Edificación</t>
        </is>
      </c>
      <c r="C14" s="9" t="inlineStr">
        <is>
          <t>Muro block 0.15 que carga</t>
        </is>
      </c>
      <c r="D14" s="8" t="inlineStr">
        <is>
          <t>M10</t>
        </is>
      </c>
      <c r="E14" s="10" t="n">
        <v>0.15</v>
      </c>
      <c r="F14" s="10" t="n">
        <v>3.975</v>
      </c>
      <c r="G14" s="10">
        <f>IF(Parámetros!$B$5="","",Parámetros!$B$5)</f>
        <v/>
      </c>
      <c r="H14" s="10">
        <f>IF(G14="","",F14*G14)</f>
        <v/>
      </c>
      <c r="I14" s="8" t="inlineStr"/>
      <c r="J14" s="8" t="inlineStr">
        <is>
          <t>-2.49, 1.16</t>
        </is>
      </c>
      <c r="K14" s="8" t="inlineStr">
        <is>
          <t>1.49, 1.16</t>
        </is>
      </c>
    </row>
    <row r="15">
      <c r="A15" s="8" t="inlineStr">
        <is>
          <t>M-27</t>
        </is>
      </c>
      <c r="B15" s="8" t="inlineStr">
        <is>
          <t>Edificación</t>
        </is>
      </c>
      <c r="C15" s="9" t="inlineStr">
        <is>
          <t>Muro block 0.15 que carga</t>
        </is>
      </c>
      <c r="D15" s="8" t="inlineStr">
        <is>
          <t>M8</t>
        </is>
      </c>
      <c r="E15" s="10" t="n">
        <v>0.15</v>
      </c>
      <c r="F15" s="10" t="n">
        <v>3.5</v>
      </c>
      <c r="G15" s="10">
        <f>IF(Parámetros!$B$5="","",Parámetros!$B$5)</f>
        <v/>
      </c>
      <c r="H15" s="10">
        <f>IF(G15="","",F15*G15)</f>
        <v/>
      </c>
      <c r="I15" s="8" t="inlineStr"/>
      <c r="J15" s="8" t="inlineStr">
        <is>
          <t>-7.84, 1.16</t>
        </is>
      </c>
      <c r="K15" s="8" t="inlineStr">
        <is>
          <t>-4.34, 1.16</t>
        </is>
      </c>
    </row>
    <row r="16">
      <c r="A16" s="8" t="inlineStr">
        <is>
          <t>M-27/V-02</t>
        </is>
      </c>
      <c r="B16" s="8" t="inlineStr">
        <is>
          <t>Edificación</t>
        </is>
      </c>
      <c r="C16" s="9" t="inlineStr">
        <is>
          <t>Muro block 0.15 que carga</t>
        </is>
      </c>
      <c r="D16" s="8" t="inlineStr">
        <is>
          <t>M8</t>
        </is>
      </c>
      <c r="E16" s="10" t="n">
        <v>0.15</v>
      </c>
      <c r="F16" s="10" t="n">
        <v>0.9</v>
      </c>
      <c r="G16" s="10">
        <f>IF(Parámetros!$B$5="","",Parámetros!$B$5)</f>
        <v/>
      </c>
      <c r="H16" s="10">
        <f>IF(G16="","",F16*G16)</f>
        <v/>
      </c>
      <c r="I16" s="8" t="inlineStr">
        <is>
          <t>V-02</t>
        </is>
      </c>
      <c r="J16" s="8" t="inlineStr">
        <is>
          <t>-4.34, 1.16</t>
        </is>
      </c>
      <c r="K16" s="8" t="inlineStr">
        <is>
          <t>-3.44, 1.16</t>
        </is>
      </c>
    </row>
    <row r="17">
      <c r="A17" s="8" t="inlineStr">
        <is>
          <t>M-28</t>
        </is>
      </c>
      <c r="B17" s="8" t="inlineStr">
        <is>
          <t>Edificación</t>
        </is>
      </c>
      <c r="C17" s="9" t="inlineStr">
        <is>
          <t>Muro block 0.15 que carga</t>
        </is>
      </c>
      <c r="D17" s="8" t="inlineStr">
        <is>
          <t>M7</t>
        </is>
      </c>
      <c r="E17" s="10" t="n">
        <v>0.15</v>
      </c>
      <c r="F17" s="10" t="n">
        <v>3.2</v>
      </c>
      <c r="G17" s="10">
        <f>IF(Parámetros!$B$5="","",Parámetros!$B$5)</f>
        <v/>
      </c>
      <c r="H17" s="10">
        <f>IF(G17="","",F17*G17)</f>
        <v/>
      </c>
      <c r="I17" s="8" t="inlineStr"/>
      <c r="J17" s="8" t="inlineStr">
        <is>
          <t>-14.71, 5.86</t>
        </is>
      </c>
      <c r="K17" s="8" t="inlineStr">
        <is>
          <t>-11.51, 5.86</t>
        </is>
      </c>
    </row>
    <row r="18">
      <c r="A18" s="8" t="inlineStr">
        <is>
          <t>M-29</t>
        </is>
      </c>
      <c r="B18" s="8" t="inlineStr">
        <is>
          <t>Edificación</t>
        </is>
      </c>
      <c r="C18" s="9" t="inlineStr">
        <is>
          <t>Muro block 0.15 que carga</t>
        </is>
      </c>
      <c r="D18" s="8" t="inlineStr"/>
      <c r="E18" s="10" t="n">
        <v>0.15</v>
      </c>
      <c r="F18" s="10" t="n">
        <v>1.85</v>
      </c>
      <c r="G18" s="10">
        <f>IF(Parámetros!$B$5="","",Parámetros!$B$5)</f>
        <v/>
      </c>
      <c r="H18" s="10">
        <f>IF(G18="","",F18*G18)</f>
        <v/>
      </c>
      <c r="I18" s="8" t="inlineStr"/>
      <c r="J18" s="8" t="inlineStr">
        <is>
          <t>-5.04, -2.51</t>
        </is>
      </c>
      <c r="K18" s="8" t="inlineStr">
        <is>
          <t>-5.04, -0.66</t>
        </is>
      </c>
    </row>
    <row r="19">
      <c r="A19" s="8" t="inlineStr">
        <is>
          <t>M-30</t>
        </is>
      </c>
      <c r="B19" s="8" t="inlineStr">
        <is>
          <t>Edificación</t>
        </is>
      </c>
      <c r="C19" s="9" t="inlineStr">
        <is>
          <t>Muro block 0.15 que carga</t>
        </is>
      </c>
      <c r="D19" s="8" t="inlineStr"/>
      <c r="E19" s="10" t="n">
        <v>0.15</v>
      </c>
      <c r="F19" s="10" t="n">
        <v>1.8</v>
      </c>
      <c r="G19" s="10">
        <f>IF(Parámetros!$B$5="","",Parámetros!$B$5)</f>
        <v/>
      </c>
      <c r="H19" s="10">
        <f>IF(G19="","",F19*G19)</f>
        <v/>
      </c>
      <c r="I19" s="8" t="inlineStr"/>
      <c r="J19" s="8" t="inlineStr">
        <is>
          <t>-11.01, 1.16</t>
        </is>
      </c>
      <c r="K19" s="8" t="inlineStr">
        <is>
          <t>-9.21, 1.16</t>
        </is>
      </c>
    </row>
    <row r="20">
      <c r="A20" s="8" t="inlineStr">
        <is>
          <t>M-30/V-03</t>
        </is>
      </c>
      <c r="B20" s="8" t="inlineStr">
        <is>
          <t>Edificación</t>
        </is>
      </c>
      <c r="C20" s="9" t="inlineStr">
        <is>
          <t>Muro block 0.15 que carga</t>
        </is>
      </c>
      <c r="D20" s="8" t="inlineStr"/>
      <c r="E20" s="10" t="n">
        <v>0.15</v>
      </c>
      <c r="F20" s="10" t="n">
        <v>0.9</v>
      </c>
      <c r="G20" s="10">
        <f>IF(Parámetros!$B$5="","",Parámetros!$B$5)</f>
        <v/>
      </c>
      <c r="H20" s="10">
        <f>IF(G20="","",F20*G20)</f>
        <v/>
      </c>
      <c r="I20" s="8" t="inlineStr">
        <is>
          <t>V-03</t>
        </is>
      </c>
      <c r="J20" s="8" t="inlineStr">
        <is>
          <t>-9.21, 1.16</t>
        </is>
      </c>
      <c r="K20" s="8" t="inlineStr">
        <is>
          <t>-8.31, 1.16</t>
        </is>
      </c>
    </row>
    <row r="21">
      <c r="A21" s="8" t="inlineStr">
        <is>
          <t>M-31</t>
        </is>
      </c>
      <c r="B21" s="8" t="inlineStr">
        <is>
          <t>Edificación</t>
        </is>
      </c>
      <c r="C21" s="9" t="inlineStr">
        <is>
          <t>Muro block 0.15 que carga</t>
        </is>
      </c>
      <c r="D21" s="8" t="inlineStr">
        <is>
          <t>M16</t>
        </is>
      </c>
      <c r="E21" s="10" t="n">
        <v>0.15</v>
      </c>
      <c r="F21" s="10" t="n">
        <v>1.797</v>
      </c>
      <c r="G21" s="10">
        <f>IF(Parámetros!$B$5="","",Parámetros!$B$5)</f>
        <v/>
      </c>
      <c r="H21" s="10">
        <f>IF(G21="","",F21*G21)</f>
        <v/>
      </c>
      <c r="I21" s="8" t="inlineStr"/>
      <c r="J21" s="8" t="inlineStr">
        <is>
          <t>-16.43, 5.94</t>
        </is>
      </c>
      <c r="K21" s="8" t="inlineStr">
        <is>
          <t>-16.43, 7.74</t>
        </is>
      </c>
    </row>
    <row r="22">
      <c r="A22" s="8" t="inlineStr">
        <is>
          <t>M-32</t>
        </is>
      </c>
      <c r="B22" s="8" t="inlineStr">
        <is>
          <t>Edificación</t>
        </is>
      </c>
      <c r="C22" s="9" t="inlineStr">
        <is>
          <t>Muro block 0.15 que carga</t>
        </is>
      </c>
      <c r="D22" s="8" t="inlineStr">
        <is>
          <t>M9</t>
        </is>
      </c>
      <c r="E22" s="10" t="n">
        <v>0.15</v>
      </c>
      <c r="F22" s="10" t="n">
        <v>1.696</v>
      </c>
      <c r="G22" s="10">
        <f>IF(Parámetros!$B$5="","",Parámetros!$B$5)</f>
        <v/>
      </c>
      <c r="H22" s="10">
        <f>IF(G22="","",F22*G22)</f>
        <v/>
      </c>
      <c r="I22" s="8" t="inlineStr"/>
      <c r="J22" s="8" t="inlineStr">
        <is>
          <t>-2.69, -2.36</t>
        </is>
      </c>
      <c r="K22" s="8" t="inlineStr">
        <is>
          <t>-2.69, -0.66</t>
        </is>
      </c>
    </row>
    <row r="23">
      <c r="A23" s="8" t="inlineStr">
        <is>
          <t>M-33</t>
        </is>
      </c>
      <c r="B23" s="8" t="inlineStr">
        <is>
          <t>Edificación</t>
        </is>
      </c>
      <c r="C23" s="9" t="inlineStr">
        <is>
          <t>Muro block 0.15 que carga</t>
        </is>
      </c>
      <c r="D23" s="8" t="inlineStr">
        <is>
          <t>M10</t>
        </is>
      </c>
      <c r="E23" s="10" t="n">
        <v>0.15</v>
      </c>
      <c r="F23" s="10" t="n">
        <v>0.8</v>
      </c>
      <c r="G23" s="10">
        <f>IF(Parámetros!$B$5="","",Parámetros!$B$5)</f>
        <v/>
      </c>
      <c r="H23" s="10">
        <f>IF(G23="","",F23*G23)</f>
        <v/>
      </c>
      <c r="I23" s="8" t="inlineStr"/>
      <c r="J23" s="8" t="inlineStr">
        <is>
          <t>-3.44, 1.16</t>
        </is>
      </c>
      <c r="K23" s="8" t="inlineStr">
        <is>
          <t>-2.64, 1.16</t>
        </is>
      </c>
    </row>
    <row r="24">
      <c r="A24" s="8" t="inlineStr">
        <is>
          <t>M-34</t>
        </is>
      </c>
      <c r="B24" s="8" t="inlineStr">
        <is>
          <t>Edificación</t>
        </is>
      </c>
      <c r="C24" s="9" t="inlineStr">
        <is>
          <t>Muro block 0.15 que carga</t>
        </is>
      </c>
      <c r="D24" s="8" t="inlineStr">
        <is>
          <t>M9</t>
        </is>
      </c>
      <c r="E24" s="10" t="n">
        <v>0.15</v>
      </c>
      <c r="F24" s="10" t="n">
        <v>0.7</v>
      </c>
      <c r="G24" s="10">
        <f>IF(Parámetros!$B$5="","",Parámetros!$B$5)</f>
        <v/>
      </c>
      <c r="H24" s="10">
        <f>IF(G24="","",F24*G24)</f>
        <v/>
      </c>
      <c r="I24" s="8" t="inlineStr"/>
      <c r="J24" s="8" t="inlineStr">
        <is>
          <t>-3.47, -0.59</t>
        </is>
      </c>
      <c r="K24" s="8" t="inlineStr">
        <is>
          <t>-2.77, -0.59</t>
        </is>
      </c>
    </row>
    <row r="25">
      <c r="A25" s="8" t="inlineStr">
        <is>
          <t>M-35</t>
        </is>
      </c>
      <c r="B25" s="8" t="inlineStr">
        <is>
          <t>Edificación</t>
        </is>
      </c>
      <c r="C25" s="9" t="inlineStr">
        <is>
          <t>Muro block 0.15 que carga</t>
        </is>
      </c>
      <c r="D25" s="8" t="inlineStr"/>
      <c r="E25" s="10" t="n">
        <v>0.15</v>
      </c>
      <c r="F25" s="10" t="n">
        <v>0.65</v>
      </c>
      <c r="G25" s="10">
        <f>IF(Parámetros!$B$5="","",Parámetros!$B$5)</f>
        <v/>
      </c>
      <c r="H25" s="10">
        <f>IF(G25="","",F25*G25)</f>
        <v/>
      </c>
      <c r="I25" s="8" t="inlineStr"/>
      <c r="J25" s="8" t="inlineStr">
        <is>
          <t>-5.04, -3.46</t>
        </is>
      </c>
      <c r="K25" s="8" t="inlineStr">
        <is>
          <t>-5.04, -2.81</t>
        </is>
      </c>
    </row>
    <row r="26">
      <c r="A26" s="8" t="inlineStr">
        <is>
          <t>M-36</t>
        </is>
      </c>
      <c r="B26" s="8" t="inlineStr">
        <is>
          <t>Edificación</t>
        </is>
      </c>
      <c r="C26" s="9" t="inlineStr">
        <is>
          <t>Muro block 0.15 que carga</t>
        </is>
      </c>
      <c r="D26" s="8" t="inlineStr"/>
      <c r="E26" s="10" t="n">
        <v>0.15</v>
      </c>
      <c r="F26" s="10" t="n">
        <v>0.645</v>
      </c>
      <c r="G26" s="10">
        <f>IF(Parámetros!$B$5="","",Parámetros!$B$5)</f>
        <v/>
      </c>
      <c r="H26" s="10">
        <f>IF(G26="","",F26*G26)</f>
        <v/>
      </c>
      <c r="I26" s="8" t="inlineStr"/>
      <c r="J26" s="8" t="inlineStr">
        <is>
          <t>-10.69, 0.43</t>
        </is>
      </c>
      <c r="K26" s="8" t="inlineStr">
        <is>
          <t>-10.69, 1.07</t>
        </is>
      </c>
    </row>
    <row r="27">
      <c r="A27" s="8" t="inlineStr">
        <is>
          <t>M-37</t>
        </is>
      </c>
      <c r="B27" s="8" t="inlineStr">
        <is>
          <t>Edificación</t>
        </is>
      </c>
      <c r="C27" s="9" t="inlineStr">
        <is>
          <t>Muro block 0.15 que carga</t>
        </is>
      </c>
      <c r="D27" s="8" t="inlineStr"/>
      <c r="E27" s="10" t="n">
        <v>0.15</v>
      </c>
      <c r="F27" s="10" t="n">
        <v>0.504</v>
      </c>
      <c r="G27" s="10">
        <f>IF(Parámetros!$B$5="","",Parámetros!$B$5)</f>
        <v/>
      </c>
      <c r="H27" s="10">
        <f>IF(G27="","",F27*G27)</f>
        <v/>
      </c>
      <c r="I27" s="8" t="inlineStr"/>
      <c r="J27" s="8" t="inlineStr">
        <is>
          <t>-2.69, -3.46</t>
        </is>
      </c>
      <c r="K27" s="8" t="inlineStr">
        <is>
          <t>-2.69, -2.96</t>
        </is>
      </c>
    </row>
    <row r="28">
      <c r="A28" s="8" t="inlineStr">
        <is>
          <t>M-37/V-04</t>
        </is>
      </c>
      <c r="B28" s="8" t="inlineStr">
        <is>
          <t>Edificación</t>
        </is>
      </c>
      <c r="C28" s="9" t="inlineStr">
        <is>
          <t>Muro block 0.15 que carga</t>
        </is>
      </c>
      <c r="D28" s="8" t="inlineStr"/>
      <c r="E28" s="10" t="n">
        <v>0.15</v>
      </c>
      <c r="F28" s="10" t="n">
        <v>0.6</v>
      </c>
      <c r="G28" s="10">
        <f>IF(Parámetros!$B$5="","",Parámetros!$B$5)</f>
        <v/>
      </c>
      <c r="H28" s="10">
        <f>IF(G28="","",F28*G28)</f>
        <v/>
      </c>
      <c r="I28" s="8" t="inlineStr">
        <is>
          <t>V-04</t>
        </is>
      </c>
      <c r="J28" s="8" t="inlineStr">
        <is>
          <t>-2.69, -2.96</t>
        </is>
      </c>
      <c r="K28" s="8" t="inlineStr">
        <is>
          <t>-2.69, -2.36</t>
        </is>
      </c>
    </row>
    <row r="29">
      <c r="A29" s="8" t="inlineStr">
        <is>
          <t>M-38</t>
        </is>
      </c>
      <c r="B29" s="8" t="inlineStr">
        <is>
          <t>Edificación</t>
        </is>
      </c>
      <c r="C29" s="9" t="inlineStr">
        <is>
          <t>Muro block 0.15 que carga</t>
        </is>
      </c>
      <c r="D29" s="8" t="inlineStr">
        <is>
          <t>M8</t>
        </is>
      </c>
      <c r="E29" s="10" t="n">
        <v>0.15</v>
      </c>
      <c r="F29" s="10" t="n">
        <v>0.4</v>
      </c>
      <c r="G29" s="10">
        <f>IF(Parámetros!$B$5="","",Parámetros!$B$5)</f>
        <v/>
      </c>
      <c r="H29" s="10">
        <f>IF(G29="","",F29*G29)</f>
        <v/>
      </c>
      <c r="I29" s="8" t="inlineStr"/>
      <c r="J29" s="8" t="inlineStr">
        <is>
          <t>-8.31, 1.16</t>
        </is>
      </c>
      <c r="K29" s="8" t="inlineStr">
        <is>
          <t>-7.91, 1.16</t>
        </is>
      </c>
    </row>
    <row r="30">
      <c r="A30" s="8" t="inlineStr">
        <is>
          <t>M-39</t>
        </is>
      </c>
      <c r="B30" s="8" t="inlineStr">
        <is>
          <t>Edificación</t>
        </is>
      </c>
      <c r="C30" s="9" t="inlineStr">
        <is>
          <t>Muro block 0.15 que carga</t>
        </is>
      </c>
      <c r="D30" s="8" t="inlineStr">
        <is>
          <t>M7</t>
        </is>
      </c>
      <c r="E30" s="10" t="n">
        <v>0.15</v>
      </c>
      <c r="F30" s="10" t="n">
        <v>0.4</v>
      </c>
      <c r="G30" s="10">
        <f>IF(Parámetros!$B$5="","",Parámetros!$B$5)</f>
        <v/>
      </c>
      <c r="H30" s="10">
        <f>IF(G30="","",F30*G30)</f>
        <v/>
      </c>
      <c r="I30" s="8" t="inlineStr"/>
      <c r="J30" s="8" t="inlineStr">
        <is>
          <t>-15.26, 5.86</t>
        </is>
      </c>
      <c r="K30" s="8" t="inlineStr">
        <is>
          <t>-14.86, 5.86</t>
        </is>
      </c>
    </row>
    <row r="31">
      <c r="A31" s="8" t="inlineStr">
        <is>
          <t>M-40</t>
        </is>
      </c>
      <c r="B31" s="8" t="inlineStr">
        <is>
          <t>Edificación</t>
        </is>
      </c>
      <c r="C31" s="9" t="inlineStr">
        <is>
          <t>Muro block 0.15 que no carga</t>
        </is>
      </c>
      <c r="D31" s="8" t="inlineStr">
        <is>
          <t>M21</t>
        </is>
      </c>
      <c r="E31" s="10" t="n">
        <v>0.15</v>
      </c>
      <c r="F31" s="10" t="n">
        <v>3.873</v>
      </c>
      <c r="G31" s="10">
        <f>IF(Parámetros!$B$5="","",Parámetros!$B$5)</f>
        <v/>
      </c>
      <c r="H31" s="10">
        <f>IF(G31="","",F31*G31)</f>
        <v/>
      </c>
      <c r="I31" s="8" t="inlineStr"/>
      <c r="J31" s="8" t="inlineStr">
        <is>
          <t>-2.41, 7.81</t>
        </is>
      </c>
      <c r="K31" s="8" t="inlineStr">
        <is>
          <t>1.46, 7.81</t>
        </is>
      </c>
    </row>
    <row r="32">
      <c r="A32" s="8" t="inlineStr">
        <is>
          <t>M-41</t>
        </is>
      </c>
      <c r="B32" s="8" t="inlineStr">
        <is>
          <t>Edificación</t>
        </is>
      </c>
      <c r="C32" s="9" t="inlineStr">
        <is>
          <t>Muro block 0.15 que no carga</t>
        </is>
      </c>
      <c r="D32" s="8" t="inlineStr">
        <is>
          <t>M5</t>
        </is>
      </c>
      <c r="E32" s="10" t="n">
        <v>0.15</v>
      </c>
      <c r="F32" s="10" t="n">
        <v>3.238</v>
      </c>
      <c r="G32" s="10">
        <f>IF(Parámetros!$B$5="","",Parámetros!$B$5)</f>
        <v/>
      </c>
      <c r="H32" s="10">
        <f>IF(G32="","",F32*G32)</f>
        <v/>
      </c>
      <c r="I32" s="8" t="inlineStr"/>
      <c r="J32" s="8" t="inlineStr">
        <is>
          <t>-7.75, 7.81</t>
        </is>
      </c>
      <c r="K32" s="8" t="inlineStr">
        <is>
          <t>-4.51, 7.81</t>
        </is>
      </c>
    </row>
    <row r="33">
      <c r="A33" s="8" t="inlineStr">
        <is>
          <t>M-42</t>
        </is>
      </c>
      <c r="B33" s="8" t="inlineStr">
        <is>
          <t>Edificación</t>
        </is>
      </c>
      <c r="C33" s="9" t="inlineStr">
        <is>
          <t>Muro block 0.15 que no carga</t>
        </is>
      </c>
      <c r="D33" s="8" t="inlineStr">
        <is>
          <t>M5</t>
        </is>
      </c>
      <c r="E33" s="10" t="n">
        <v>0.15</v>
      </c>
      <c r="F33" s="10" t="n">
        <v>3.138</v>
      </c>
      <c r="G33" s="10">
        <f>IF(Parámetros!$B$5="","",Parámetros!$B$5)</f>
        <v/>
      </c>
      <c r="H33" s="10">
        <f>IF(G33="","",F33*G33)</f>
        <v/>
      </c>
      <c r="I33" s="8" t="inlineStr"/>
      <c r="J33" s="8" t="inlineStr">
        <is>
          <t>-11.25, 7.81</t>
        </is>
      </c>
      <c r="K33" s="8" t="inlineStr">
        <is>
          <t>-8.11, 7.81</t>
        </is>
      </c>
    </row>
    <row r="34">
      <c r="A34" s="8" t="inlineStr">
        <is>
          <t>M-43</t>
        </is>
      </c>
      <c r="B34" s="8" t="inlineStr">
        <is>
          <t>Edificación</t>
        </is>
      </c>
      <c r="C34" s="9" t="inlineStr">
        <is>
          <t>Muro block 0.15 que no carga</t>
        </is>
      </c>
      <c r="D34" s="8" t="inlineStr"/>
      <c r="E34" s="10" t="n">
        <v>0.15</v>
      </c>
      <c r="F34" s="10" t="n">
        <v>2.907</v>
      </c>
      <c r="G34" s="10">
        <f>IF(Parámetros!$B$5="","",Parámetros!$B$5)</f>
        <v/>
      </c>
      <c r="H34" s="10">
        <f>IF(G34="","",F34*G34)</f>
        <v/>
      </c>
      <c r="I34" s="8" t="inlineStr"/>
      <c r="J34" s="8" t="inlineStr">
        <is>
          <t>-25.29, -6.68</t>
        </is>
      </c>
      <c r="K34" s="8" t="inlineStr">
        <is>
          <t>-28.11, -5.98</t>
        </is>
      </c>
    </row>
    <row r="35">
      <c r="A35" s="8" t="inlineStr">
        <is>
          <t>M-44</t>
        </is>
      </c>
      <c r="B35" s="8" t="inlineStr">
        <is>
          <t>Edificación</t>
        </is>
      </c>
      <c r="C35" s="9" t="inlineStr">
        <is>
          <t>Muro block 0.15 que no carga</t>
        </is>
      </c>
      <c r="D35" s="8" t="inlineStr"/>
      <c r="E35" s="10" t="n">
        <v>0.15</v>
      </c>
      <c r="F35" s="10" t="n">
        <v>2.624</v>
      </c>
      <c r="G35" s="10">
        <f>IF(Parámetros!$B$5="","",Parámetros!$B$5)</f>
        <v/>
      </c>
      <c r="H35" s="10">
        <f>IF(G35="","",F35*G35)</f>
        <v/>
      </c>
      <c r="I35" s="8" t="inlineStr"/>
      <c r="J35" s="8" t="inlineStr">
        <is>
          <t>1.54, -3.14</t>
        </is>
      </c>
      <c r="K35" s="8" t="inlineStr">
        <is>
          <t>1.54, -0.51</t>
        </is>
      </c>
    </row>
    <row r="36">
      <c r="A36" s="8" t="inlineStr">
        <is>
          <t>M-45</t>
        </is>
      </c>
      <c r="B36" s="8" t="inlineStr">
        <is>
          <t>Edificación</t>
        </is>
      </c>
      <c r="C36" s="9" t="inlineStr">
        <is>
          <t>Muro block 0.15 que no carga</t>
        </is>
      </c>
      <c r="D36" s="8" t="inlineStr"/>
      <c r="E36" s="10" t="n">
        <v>0.15</v>
      </c>
      <c r="F36" s="10" t="n">
        <v>2.165</v>
      </c>
      <c r="G36" s="10">
        <f>IF(Parámetros!$B$5="","",Parámetros!$B$5)</f>
        <v/>
      </c>
      <c r="H36" s="10">
        <f>IF(G36="","",F36*G36)</f>
        <v/>
      </c>
      <c r="I36" s="8" t="inlineStr"/>
      <c r="J36" s="8" t="inlineStr">
        <is>
          <t>-23.59, -8.13</t>
        </is>
      </c>
      <c r="K36" s="8" t="inlineStr">
        <is>
          <t>-25.69, -7.61</t>
        </is>
      </c>
    </row>
    <row r="37">
      <c r="A37" s="8" t="inlineStr">
        <is>
          <t>M-46</t>
        </is>
      </c>
      <c r="B37" s="8" t="inlineStr">
        <is>
          <t>Edificación</t>
        </is>
      </c>
      <c r="C37" s="9" t="inlineStr">
        <is>
          <t>Muro block 0.15 que no carga</t>
        </is>
      </c>
      <c r="D37" s="8" t="inlineStr">
        <is>
          <t>M9</t>
        </is>
      </c>
      <c r="E37" s="10" t="n">
        <v>0.15</v>
      </c>
      <c r="F37" s="10" t="n">
        <v>1.643</v>
      </c>
      <c r="G37" s="10">
        <f>IF(Parámetros!$B$5="","",Parámetros!$B$5)</f>
        <v/>
      </c>
      <c r="H37" s="10">
        <f>IF(G37="","",F37*G37)</f>
        <v/>
      </c>
      <c r="I37" s="8" t="inlineStr"/>
      <c r="J37" s="8" t="inlineStr">
        <is>
          <t>-2.41, -2.33</t>
        </is>
      </c>
      <c r="K37" s="8" t="inlineStr">
        <is>
          <t>-2.41, -0.69</t>
        </is>
      </c>
    </row>
    <row r="38">
      <c r="A38" s="8" t="inlineStr">
        <is>
          <t>M-47</t>
        </is>
      </c>
      <c r="B38" s="8" t="inlineStr">
        <is>
          <t>Edificación</t>
        </is>
      </c>
      <c r="C38" s="9" t="inlineStr">
        <is>
          <t>Muro block 0.15 que no carga</t>
        </is>
      </c>
      <c r="D38" s="8" t="inlineStr"/>
      <c r="E38" s="10" t="n">
        <v>0.15</v>
      </c>
      <c r="F38" s="10" t="n">
        <v>1.424</v>
      </c>
      <c r="G38" s="10">
        <f>IF(Parámetros!$B$5="","",Parámetros!$B$5)</f>
        <v/>
      </c>
      <c r="H38" s="10">
        <f>IF(G38="","",F38*G38)</f>
        <v/>
      </c>
      <c r="I38" s="8" t="inlineStr"/>
      <c r="J38" s="8" t="inlineStr">
        <is>
          <t>-23.84, -9.46</t>
        </is>
      </c>
      <c r="K38" s="8" t="inlineStr">
        <is>
          <t>-23.50, -8.08</t>
        </is>
      </c>
    </row>
    <row r="39">
      <c r="A39" s="8" t="inlineStr">
        <is>
          <t>M-48</t>
        </is>
      </c>
      <c r="B39" s="8" t="inlineStr">
        <is>
          <t>Edificación</t>
        </is>
      </c>
      <c r="C39" s="9" t="inlineStr">
        <is>
          <t>Muro block 0.15 que no carga</t>
        </is>
      </c>
      <c r="D39" s="8" t="inlineStr">
        <is>
          <t>M1</t>
        </is>
      </c>
      <c r="E39" s="10" t="n">
        <v>0.15</v>
      </c>
      <c r="F39" s="10" t="n">
        <v>1.391</v>
      </c>
      <c r="G39" s="10">
        <f>IF(Parámetros!$B$5="","",Parámetros!$B$5)</f>
        <v/>
      </c>
      <c r="H39" s="10">
        <f>IF(G39="","",F39*G39)</f>
        <v/>
      </c>
      <c r="I39" s="8" t="inlineStr"/>
      <c r="J39" s="8" t="inlineStr">
        <is>
          <t>-10.71, -4.05</t>
        </is>
      </c>
      <c r="K39" s="8" t="inlineStr">
        <is>
          <t>-10.71, -2.66</t>
        </is>
      </c>
    </row>
    <row r="40">
      <c r="A40" s="8" t="inlineStr">
        <is>
          <t>M-49</t>
        </is>
      </c>
      <c r="B40" s="8" t="inlineStr">
        <is>
          <t>Edificación</t>
        </is>
      </c>
      <c r="C40" s="9" t="inlineStr">
        <is>
          <t>Muro block 0.15 que no carga</t>
        </is>
      </c>
      <c r="D40" s="8" t="inlineStr">
        <is>
          <t>M5</t>
        </is>
      </c>
      <c r="E40" s="10" t="n">
        <v>0.15</v>
      </c>
      <c r="F40" s="10" t="n">
        <v>1.378</v>
      </c>
      <c r="G40" s="10">
        <f>IF(Parámetros!$B$5="","",Parámetros!$B$5)</f>
        <v/>
      </c>
      <c r="H40" s="10">
        <f>IF(G40="","",F40*G40)</f>
        <v/>
      </c>
      <c r="I40" s="8" t="inlineStr"/>
      <c r="J40" s="8" t="inlineStr">
        <is>
          <t>-4.15, 7.81</t>
        </is>
      </c>
      <c r="K40" s="8" t="inlineStr">
        <is>
          <t>-2.77, 7.81</t>
        </is>
      </c>
    </row>
    <row r="41">
      <c r="A41" s="8" t="inlineStr">
        <is>
          <t>M-50</t>
        </is>
      </c>
      <c r="B41" s="8" t="inlineStr">
        <is>
          <t>Edificación</t>
        </is>
      </c>
      <c r="C41" s="9" t="inlineStr">
        <is>
          <t>Muro block 0.15 que no carga</t>
        </is>
      </c>
      <c r="D41" s="8" t="inlineStr"/>
      <c r="E41" s="10" t="n">
        <v>0.15</v>
      </c>
      <c r="F41" s="10" t="n">
        <v>1.202</v>
      </c>
      <c r="G41" s="10">
        <f>IF(Parámetros!$B$5="","",Parámetros!$B$5)</f>
        <v/>
      </c>
      <c r="H41" s="10">
        <f>IF(G41="","",F41*G41)</f>
        <v/>
      </c>
      <c r="I41" s="8" t="inlineStr"/>
      <c r="J41" s="8" t="inlineStr">
        <is>
          <t>-26.74, -8.47</t>
        </is>
      </c>
      <c r="K41" s="8" t="inlineStr">
        <is>
          <t>-26.45, -7.30</t>
        </is>
      </c>
    </row>
    <row r="42">
      <c r="A42" s="8" t="inlineStr">
        <is>
          <t>M-51</t>
        </is>
      </c>
      <c r="B42" s="8" t="inlineStr">
        <is>
          <t>Edificación</t>
        </is>
      </c>
      <c r="C42" s="9" t="inlineStr">
        <is>
          <t>Muro block 0.15 que no carga</t>
        </is>
      </c>
      <c r="D42" s="8" t="inlineStr">
        <is>
          <t>M7</t>
        </is>
      </c>
      <c r="E42" s="10" t="n">
        <v>0.15</v>
      </c>
      <c r="F42" s="10" t="n">
        <v>0.662</v>
      </c>
      <c r="G42" s="10">
        <f>IF(Parámetros!$B$5="","",Parámetros!$B$5)</f>
        <v/>
      </c>
      <c r="H42" s="10">
        <f>IF(G42="","",F42*G42)</f>
        <v/>
      </c>
      <c r="I42" s="8" t="inlineStr"/>
      <c r="J42" s="8" t="inlineStr">
        <is>
          <t>-10.61, -2.61</t>
        </is>
      </c>
      <c r="K42" s="8" t="inlineStr">
        <is>
          <t>-9.95, -2.61</t>
        </is>
      </c>
    </row>
    <row r="43">
      <c r="A43" s="8" t="inlineStr">
        <is>
          <t>M-52</t>
        </is>
      </c>
      <c r="B43" s="8" t="inlineStr">
        <is>
          <t>Edificación</t>
        </is>
      </c>
      <c r="C43" s="9" t="inlineStr">
        <is>
          <t>Muro block 0.15 que no carga</t>
        </is>
      </c>
      <c r="D43" s="8" t="inlineStr"/>
      <c r="E43" s="10" t="n">
        <v>0.15</v>
      </c>
      <c r="F43" s="10" t="n">
        <v>0.652</v>
      </c>
      <c r="G43" s="10">
        <f>IF(Parámetros!$B$5="","",Parámetros!$B$5)</f>
        <v/>
      </c>
      <c r="H43" s="10">
        <f>IF(G43="","",F43*G43)</f>
        <v/>
      </c>
      <c r="I43" s="8" t="inlineStr"/>
      <c r="J43" s="8" t="inlineStr">
        <is>
          <t>-2.41, -3.64</t>
        </is>
      </c>
      <c r="K43" s="8" t="inlineStr">
        <is>
          <t>-2.41, -2.99</t>
        </is>
      </c>
    </row>
    <row r="44">
      <c r="A44" s="8" t="inlineStr">
        <is>
          <t>M-52/V-05</t>
        </is>
      </c>
      <c r="B44" s="8" t="inlineStr">
        <is>
          <t>Edificación</t>
        </is>
      </c>
      <c r="C44" s="9" t="inlineStr">
        <is>
          <t>Muro block 0.15 que no carga</t>
        </is>
      </c>
      <c r="D44" s="8" t="inlineStr"/>
      <c r="E44" s="10" t="n">
        <v>0.15</v>
      </c>
      <c r="F44" s="10" t="n">
        <v>0.652</v>
      </c>
      <c r="G44" s="10">
        <f>IF(Parámetros!$B$5="","",Parámetros!$B$5)</f>
        <v/>
      </c>
      <c r="H44" s="10">
        <f>IF(G44="","",F44*G44)</f>
        <v/>
      </c>
      <c r="I44" s="8" t="inlineStr">
        <is>
          <t>V-05</t>
        </is>
      </c>
      <c r="J44" s="8" t="inlineStr">
        <is>
          <t>-2.41, -2.99</t>
        </is>
      </c>
      <c r="K44" s="8" t="inlineStr">
        <is>
          <t>-2.41, -2.33</t>
        </is>
      </c>
    </row>
    <row r="45">
      <c r="A45" s="8" t="inlineStr">
        <is>
          <t>M-53</t>
        </is>
      </c>
      <c r="B45" s="8" t="inlineStr">
        <is>
          <t>Edificación</t>
        </is>
      </c>
      <c r="C45" s="9" t="inlineStr">
        <is>
          <t>Muro block 0.15 que no carga</t>
        </is>
      </c>
      <c r="D45" s="8" t="inlineStr"/>
      <c r="E45" s="10" t="n">
        <v>0.15</v>
      </c>
      <c r="F45" s="10" t="n">
        <v>0.598</v>
      </c>
      <c r="G45" s="10">
        <f>IF(Parámetros!$B$5="","",Parámetros!$B$5)</f>
        <v/>
      </c>
      <c r="H45" s="10">
        <f>IF(G45="","",F45*G45)</f>
        <v/>
      </c>
      <c r="I45" s="8" t="inlineStr"/>
      <c r="J45" s="8" t="inlineStr">
        <is>
          <t>-9.11, -3.44</t>
        </is>
      </c>
      <c r="K45" s="8" t="inlineStr">
        <is>
          <t>-9.11, -2.84</t>
        </is>
      </c>
    </row>
    <row r="46">
      <c r="A46" s="8" t="inlineStr">
        <is>
          <t>MC-01</t>
        </is>
      </c>
      <c r="B46" s="8" t="inlineStr">
        <is>
          <t>Muro de contención</t>
        </is>
      </c>
      <c r="C46" s="9" t="inlineStr">
        <is>
          <t>Muro MC1 block doble hilada 0.15+0.15</t>
        </is>
      </c>
      <c r="D46" s="8" t="inlineStr">
        <is>
          <t>M4</t>
        </is>
      </c>
      <c r="E46" s="10" t="n">
        <v>0.3</v>
      </c>
      <c r="F46" s="10" t="n">
        <v>18.761</v>
      </c>
      <c r="G46" s="10">
        <f>IF(Parámetros!$B$6="","",Parámetros!$B$6)</f>
        <v/>
      </c>
      <c r="H46" s="10">
        <f>IF(G46="","",F46*G46)</f>
        <v/>
      </c>
      <c r="I46" s="8" t="inlineStr"/>
      <c r="J46" s="8" t="inlineStr">
        <is>
          <t>-29.68, -7.99</t>
        </is>
      </c>
      <c r="K46" s="8" t="inlineStr">
        <is>
          <t>-19.30, 7.64</t>
        </is>
      </c>
    </row>
    <row r="47">
      <c r="A47" s="8" t="inlineStr">
        <is>
          <t>MC-02</t>
        </is>
      </c>
      <c r="B47" s="8" t="inlineStr">
        <is>
          <t>Muro de contención</t>
        </is>
      </c>
      <c r="C47" s="9" t="inlineStr">
        <is>
          <t>Muro MC1 block doble hilada 0.15+0.15</t>
        </is>
      </c>
      <c r="D47" s="8" t="inlineStr"/>
      <c r="E47" s="10" t="n">
        <v>0.3</v>
      </c>
      <c r="F47" s="10" t="n">
        <v>15.667</v>
      </c>
      <c r="G47" s="10">
        <f>IF(Parámetros!$B$6="","",Parámetros!$B$6)</f>
        <v/>
      </c>
      <c r="H47" s="10">
        <f>IF(G47="","",F47*G47)</f>
        <v/>
      </c>
      <c r="I47" s="8" t="inlineStr"/>
      <c r="J47" s="8" t="inlineStr">
        <is>
          <t>-17.93, -17.12</t>
        </is>
      </c>
      <c r="K47" s="8" t="inlineStr">
        <is>
          <t>-33.14, -13.35</t>
        </is>
      </c>
    </row>
    <row r="48">
      <c r="A48" s="8" t="inlineStr">
        <is>
          <t>MC-03</t>
        </is>
      </c>
      <c r="B48" s="8" t="inlineStr">
        <is>
          <t>Muro de contención</t>
        </is>
      </c>
      <c r="C48" s="9" t="inlineStr">
        <is>
          <t>Muro MC1 block doble hilada 0.15+0.15</t>
        </is>
      </c>
      <c r="D48" s="8" t="inlineStr">
        <is>
          <t>M5</t>
        </is>
      </c>
      <c r="E48" s="10" t="n">
        <v>0.3</v>
      </c>
      <c r="F48" s="10" t="n">
        <v>13.5</v>
      </c>
      <c r="G48" s="10">
        <f>IF(Parámetros!$B$6="","",Parámetros!$B$6)</f>
        <v/>
      </c>
      <c r="H48" s="10">
        <f>IF(G48="","",F48*G48)</f>
        <v/>
      </c>
      <c r="I48" s="8" t="inlineStr"/>
      <c r="J48" s="8" t="inlineStr">
        <is>
          <t>-11.61, 8.69</t>
        </is>
      </c>
      <c r="K48" s="8" t="inlineStr">
        <is>
          <t>1.89, 8.69</t>
        </is>
      </c>
    </row>
    <row r="49">
      <c r="A49" s="8" t="inlineStr">
        <is>
          <t>MC-04</t>
        </is>
      </c>
      <c r="B49" s="8" t="inlineStr">
        <is>
          <t>Muro de contención</t>
        </is>
      </c>
      <c r="C49" s="9" t="inlineStr">
        <is>
          <t>Muro MC1 block doble hilada 0.15+0.15</t>
        </is>
      </c>
      <c r="D49" s="8" t="inlineStr">
        <is>
          <t>M32</t>
        </is>
      </c>
      <c r="E49" s="10" t="n">
        <v>0.3</v>
      </c>
      <c r="F49" s="10" t="n">
        <v>11.462</v>
      </c>
      <c r="G49" s="10">
        <f>IF(Parámetros!$B$6="","",Parámetros!$B$6)</f>
        <v/>
      </c>
      <c r="H49" s="10">
        <f>IF(G49="","",F49*G49)</f>
        <v/>
      </c>
      <c r="I49" s="8" t="inlineStr"/>
      <c r="J49" s="8" t="inlineStr">
        <is>
          <t>-9.97, -3.61</t>
        </is>
      </c>
      <c r="K49" s="8" t="inlineStr">
        <is>
          <t>1.49, -3.61</t>
        </is>
      </c>
    </row>
    <row r="50">
      <c r="A50" s="8" t="inlineStr">
        <is>
          <t>MC-05</t>
        </is>
      </c>
      <c r="B50" s="8" t="inlineStr">
        <is>
          <t>Muro de contención</t>
        </is>
      </c>
      <c r="C50" s="9" t="inlineStr">
        <is>
          <t>Muro MC1 block doble hilada 0.15+0.15</t>
        </is>
      </c>
      <c r="D50" s="8" t="inlineStr">
        <is>
          <t>M5</t>
        </is>
      </c>
      <c r="E50" s="10" t="n">
        <v>0.3</v>
      </c>
      <c r="F50" s="10" t="n">
        <v>7.093</v>
      </c>
      <c r="G50" s="10">
        <f>IF(Parámetros!$B$6="","",Parámetros!$B$6)</f>
        <v/>
      </c>
      <c r="H50" s="10">
        <f>IF(G50="","",F50*G50)</f>
        <v/>
      </c>
      <c r="I50" s="8" t="inlineStr"/>
      <c r="J50" s="8" t="inlineStr">
        <is>
          <t>-18.70, 7.89</t>
        </is>
      </c>
      <c r="K50" s="8" t="inlineStr">
        <is>
          <t>-11.61, 7.89</t>
        </is>
      </c>
    </row>
    <row r="51">
      <c r="A51" s="8" t="inlineStr">
        <is>
          <t>MC-06</t>
        </is>
      </c>
      <c r="B51" s="8" t="inlineStr">
        <is>
          <t>Muro de contención</t>
        </is>
      </c>
      <c r="C51" s="9" t="inlineStr">
        <is>
          <t>Muro MC1 block doble hilada 0.15+0.15</t>
        </is>
      </c>
      <c r="D51" s="8" t="inlineStr">
        <is>
          <t>M1</t>
        </is>
      </c>
      <c r="E51" s="10" t="n">
        <v>0.3</v>
      </c>
      <c r="F51" s="10" t="n">
        <v>6.383</v>
      </c>
      <c r="G51" s="10">
        <f>IF(Parámetros!$B$6="","",Parámetros!$B$6)</f>
        <v/>
      </c>
      <c r="H51" s="10">
        <f>IF(G51="","",F51*G51)</f>
        <v/>
      </c>
      <c r="I51" s="8" t="inlineStr"/>
      <c r="J51" s="8" t="inlineStr">
        <is>
          <t>-14.17, -9.62</t>
        </is>
      </c>
      <c r="K51" s="8" t="inlineStr">
        <is>
          <t>-10.63, -4.31</t>
        </is>
      </c>
    </row>
    <row r="52">
      <c r="A52" s="8" t="inlineStr">
        <is>
          <t>MC-07</t>
        </is>
      </c>
      <c r="B52" s="8" t="inlineStr">
        <is>
          <t>Muro de contención</t>
        </is>
      </c>
      <c r="C52" s="9" t="inlineStr">
        <is>
          <t>Muro MC1 block doble hilada 0.15+0.15</t>
        </is>
      </c>
      <c r="D52" s="8" t="inlineStr">
        <is>
          <t>M5</t>
        </is>
      </c>
      <c r="E52" s="10" t="n">
        <v>0.3</v>
      </c>
      <c r="F52" s="10" t="n">
        <v>4.595</v>
      </c>
      <c r="G52" s="10">
        <f>IF(Parámetros!$B$6="","",Parámetros!$B$6)</f>
        <v/>
      </c>
      <c r="H52" s="10">
        <f>IF(G52="","",F52*G52)</f>
        <v/>
      </c>
      <c r="I52" s="8" t="inlineStr"/>
      <c r="J52" s="8" t="inlineStr">
        <is>
          <t>-22.40, -10.00</t>
        </is>
      </c>
      <c r="K52" s="8" t="inlineStr">
        <is>
          <t>-26.86, -8.89</t>
        </is>
      </c>
    </row>
    <row r="53">
      <c r="A53" s="8" t="inlineStr">
        <is>
          <t>MC-08</t>
        </is>
      </c>
      <c r="B53" s="8" t="inlineStr">
        <is>
          <t>Muro de contención</t>
        </is>
      </c>
      <c r="C53" s="9" t="inlineStr">
        <is>
          <t>Muro MC1 block doble hilada 0.15+0.15</t>
        </is>
      </c>
      <c r="D53" s="8" t="inlineStr">
        <is>
          <t>M21</t>
        </is>
      </c>
      <c r="E53" s="10" t="n">
        <v>0.3</v>
      </c>
      <c r="F53" s="10" t="n">
        <v>3.462</v>
      </c>
      <c r="G53" s="10">
        <f>IF(Parámetros!$B$6="","",Parámetros!$B$6)</f>
        <v/>
      </c>
      <c r="H53" s="10">
        <f>IF(G53="","",F53*G53)</f>
        <v/>
      </c>
      <c r="I53" s="8" t="inlineStr"/>
      <c r="J53" s="8" t="inlineStr">
        <is>
          <t>5.33, 5.88</t>
        </is>
      </c>
      <c r="K53" s="8" t="inlineStr">
        <is>
          <t>2.13, 7.22</t>
        </is>
      </c>
    </row>
    <row r="54">
      <c r="A54" s="8" t="inlineStr">
        <is>
          <t>MC-09</t>
        </is>
      </c>
      <c r="B54" s="8" t="inlineStr">
        <is>
          <t>Muro de contención</t>
        </is>
      </c>
      <c r="C54" s="9" t="inlineStr">
        <is>
          <t>Muro MC1 block doble hilada 0.15+0.15</t>
        </is>
      </c>
      <c r="D54" s="8" t="inlineStr">
        <is>
          <t>M34</t>
        </is>
      </c>
      <c r="E54" s="10" t="n">
        <v>0.3</v>
      </c>
      <c r="F54" s="10" t="n">
        <v>3.2</v>
      </c>
      <c r="G54" s="10">
        <f>IF(Parámetros!$B$6="","",Parámetros!$B$6)</f>
        <v/>
      </c>
      <c r="H54" s="10">
        <f>IF(G54="","",F54*G54)</f>
        <v/>
      </c>
      <c r="I54" s="8" t="inlineStr"/>
      <c r="J54" s="8" t="inlineStr">
        <is>
          <t>9.99, 0.32</t>
        </is>
      </c>
      <c r="K54" s="8" t="inlineStr">
        <is>
          <t>11.23, 3.27</t>
        </is>
      </c>
    </row>
    <row r="55">
      <c r="A55" s="8" t="inlineStr">
        <is>
          <t>MC-10</t>
        </is>
      </c>
      <c r="B55" s="8" t="inlineStr">
        <is>
          <t>Muro de contención</t>
        </is>
      </c>
      <c r="C55" s="9" t="inlineStr">
        <is>
          <t>Muro MC1 block doble hilada 0.15+0.15</t>
        </is>
      </c>
      <c r="D55" s="8" t="inlineStr">
        <is>
          <t>M34</t>
        </is>
      </c>
      <c r="E55" s="10" t="n">
        <v>0.3</v>
      </c>
      <c r="F55" s="10" t="n">
        <v>3</v>
      </c>
      <c r="G55" s="10">
        <f>IF(Parámetros!$B$6="","",Parámetros!$B$6)</f>
        <v/>
      </c>
      <c r="H55" s="10">
        <f>IF(G55="","",F55*G55)</f>
        <v/>
      </c>
      <c r="I55" s="8" t="inlineStr"/>
      <c r="J55" s="8" t="inlineStr">
        <is>
          <t>8.76, -2.63</t>
        </is>
      </c>
      <c r="K55" s="8" t="inlineStr">
        <is>
          <t>9.92, 0.14</t>
        </is>
      </c>
    </row>
    <row r="56">
      <c r="A56" s="8" t="inlineStr">
        <is>
          <t>MC-11</t>
        </is>
      </c>
      <c r="B56" s="8" t="inlineStr">
        <is>
          <t>Muro de contención</t>
        </is>
      </c>
      <c r="C56" s="9" t="inlineStr">
        <is>
          <t>Muro MC1 block doble hilada 0.15+0.15</t>
        </is>
      </c>
      <c r="D56" s="8" t="inlineStr">
        <is>
          <t>M33</t>
        </is>
      </c>
      <c r="E56" s="10" t="n">
        <v>0.3</v>
      </c>
      <c r="F56" s="10" t="n">
        <v>2.95</v>
      </c>
      <c r="G56" s="10">
        <f>IF(Parámetros!$B$6="","",Parámetros!$B$6)</f>
        <v/>
      </c>
      <c r="H56" s="10">
        <f>IF(G56="","",F56*G56)</f>
        <v/>
      </c>
      <c r="I56" s="8" t="inlineStr"/>
      <c r="J56" s="8" t="inlineStr">
        <is>
          <t>7.40, -5.91</t>
        </is>
      </c>
      <c r="K56" s="8" t="inlineStr">
        <is>
          <t>8.53, -3.19</t>
        </is>
      </c>
    </row>
    <row r="57">
      <c r="A57" s="8" t="inlineStr">
        <is>
          <t>MC-12</t>
        </is>
      </c>
      <c r="B57" s="8" t="inlineStr">
        <is>
          <t>Muro de contención</t>
        </is>
      </c>
      <c r="C57" s="9" t="inlineStr">
        <is>
          <t>Muro MC1 block doble hilada 0.15+0.15</t>
        </is>
      </c>
      <c r="D57" s="8" t="inlineStr">
        <is>
          <t>M2</t>
        </is>
      </c>
      <c r="E57" s="10" t="n">
        <v>0.3</v>
      </c>
      <c r="F57" s="10" t="n">
        <v>2.4</v>
      </c>
      <c r="G57" s="10">
        <f>IF(Parámetros!$B$6="","",Parámetros!$B$6)</f>
        <v/>
      </c>
      <c r="H57" s="10">
        <f>IF(G57="","",F57*G57)</f>
        <v/>
      </c>
      <c r="I57" s="8" t="inlineStr"/>
      <c r="J57" s="8" t="inlineStr">
        <is>
          <t>-18.04, -16.93</t>
        </is>
      </c>
      <c r="K57" s="8" t="inlineStr">
        <is>
          <t>-17.46, -14.60</t>
        </is>
      </c>
    </row>
    <row r="58">
      <c r="A58" s="8" t="inlineStr">
        <is>
          <t>MC-13</t>
        </is>
      </c>
      <c r="B58" s="8" t="inlineStr">
        <is>
          <t>Muro de contención</t>
        </is>
      </c>
      <c r="C58" s="9" t="inlineStr">
        <is>
          <t>Muro MC1 block doble hilada 0.15+0.15</t>
        </is>
      </c>
      <c r="D58" s="8" t="inlineStr">
        <is>
          <t>M33</t>
        </is>
      </c>
      <c r="E58" s="10" t="n">
        <v>0.3</v>
      </c>
      <c r="F58" s="10" t="n">
        <v>2.215</v>
      </c>
      <c r="G58" s="10">
        <f>IF(Parámetros!$B$6="","",Parámetros!$B$6)</f>
        <v/>
      </c>
      <c r="H58" s="10">
        <f>IF(G58="","",F58*G58)</f>
        <v/>
      </c>
      <c r="I58" s="8" t="inlineStr"/>
      <c r="J58" s="8" t="inlineStr">
        <is>
          <t>-27.44, -8.75</t>
        </is>
      </c>
      <c r="K58" s="8" t="inlineStr">
        <is>
          <t>-29.59, -8.22</t>
        </is>
      </c>
    </row>
    <row r="59">
      <c r="A59" s="8" t="inlineStr">
        <is>
          <t>MC-14</t>
        </is>
      </c>
      <c r="B59" s="8" t="inlineStr">
        <is>
          <t>Muro de contención</t>
        </is>
      </c>
      <c r="C59" s="9" t="inlineStr">
        <is>
          <t>Muro MC1 block doble hilada 0.15+0.15</t>
        </is>
      </c>
      <c r="D59" s="8" t="inlineStr"/>
      <c r="E59" s="10" t="n">
        <v>0.3</v>
      </c>
      <c r="F59" s="10" t="n">
        <v>2.156</v>
      </c>
      <c r="G59" s="10">
        <f>IF(Parámetros!$B$6="","",Parámetros!$B$6)</f>
        <v/>
      </c>
      <c r="H59" s="10">
        <f>IF(G59="","",F59*G59)</f>
        <v/>
      </c>
      <c r="I59" s="8" t="inlineStr"/>
      <c r="J59" s="8" t="inlineStr">
        <is>
          <t>-15.64, -11.84</t>
        </is>
      </c>
      <c r="K59" s="8" t="inlineStr">
        <is>
          <t>-14.44, -10.04</t>
        </is>
      </c>
    </row>
    <row r="60">
      <c r="A60" s="8" t="inlineStr">
        <is>
          <t>MC-15</t>
        </is>
      </c>
      <c r="B60" s="8" t="inlineStr">
        <is>
          <t>Muro de contención</t>
        </is>
      </c>
      <c r="C60" s="9" t="inlineStr">
        <is>
          <t>Muro MC1 block doble hilada 0.15+0.15</t>
        </is>
      </c>
      <c r="D60" s="8" t="inlineStr"/>
      <c r="E60" s="10" t="n">
        <v>0.3</v>
      </c>
      <c r="F60" s="10" t="n">
        <v>1.85</v>
      </c>
      <c r="G60" s="10">
        <f>IF(Parámetros!$B$6="","",Parámetros!$B$6)</f>
        <v/>
      </c>
      <c r="H60" s="10">
        <f>IF(G60="","",F60*G60)</f>
        <v/>
      </c>
      <c r="I60" s="8" t="inlineStr"/>
      <c r="J60" s="8" t="inlineStr">
        <is>
          <t>3.85, -4.81</t>
        </is>
      </c>
      <c r="K60" s="8" t="inlineStr">
        <is>
          <t>2.14, -4.10</t>
        </is>
      </c>
    </row>
    <row r="61">
      <c r="A61" s="8" t="inlineStr">
        <is>
          <t>MC-16</t>
        </is>
      </c>
      <c r="B61" s="8" t="inlineStr">
        <is>
          <t>Muro de contención</t>
        </is>
      </c>
      <c r="C61" s="9" t="inlineStr">
        <is>
          <t>Muro MC1 block doble hilada 0.15+0.15</t>
        </is>
      </c>
      <c r="D61" s="8" t="inlineStr"/>
      <c r="E61" s="10" t="n">
        <v>0.3</v>
      </c>
      <c r="F61" s="10" t="n">
        <v>1.84</v>
      </c>
      <c r="G61" s="10">
        <f>IF(Parámetros!$B$6="","",Parámetros!$B$6)</f>
        <v/>
      </c>
      <c r="H61" s="10">
        <f>IF(G61="","",F61*G61)</f>
        <v/>
      </c>
      <c r="I61" s="8" t="inlineStr"/>
      <c r="J61" s="8" t="inlineStr">
        <is>
          <t>11.42, 3.74</t>
        </is>
      </c>
      <c r="K61" s="8" t="inlineStr">
        <is>
          <t>12.13, 5.43</t>
        </is>
      </c>
    </row>
    <row r="62">
      <c r="A62" s="8" t="inlineStr">
        <is>
          <t>MC-17</t>
        </is>
      </c>
      <c r="B62" s="8" t="inlineStr">
        <is>
          <t>Muro de contención</t>
        </is>
      </c>
      <c r="C62" s="9" t="inlineStr">
        <is>
          <t>Muro MC1 block doble hilada 0.15+0.15</t>
        </is>
      </c>
      <c r="D62" s="8" t="inlineStr">
        <is>
          <t>M2</t>
        </is>
      </c>
      <c r="E62" s="10" t="n">
        <v>0.3</v>
      </c>
      <c r="F62" s="10" t="n">
        <v>1.297</v>
      </c>
      <c r="G62" s="10">
        <f>IF(Parámetros!$B$6="","",Parámetros!$B$6)</f>
        <v/>
      </c>
      <c r="H62" s="10">
        <f>IF(G62="","",F62*G62)</f>
        <v/>
      </c>
      <c r="I62" s="8" t="inlineStr"/>
      <c r="J62" s="8" t="inlineStr">
        <is>
          <t>-17.39, -14.47</t>
        </is>
      </c>
      <c r="K62" s="8" t="inlineStr">
        <is>
          <t>-16.67, -13.39</t>
        </is>
      </c>
    </row>
    <row r="63">
      <c r="A63" s="8" t="inlineStr">
        <is>
          <t>MC-18</t>
        </is>
      </c>
      <c r="B63" s="8" t="inlineStr">
        <is>
          <t>Muro de contención</t>
        </is>
      </c>
      <c r="C63" s="9" t="inlineStr">
        <is>
          <t>Muro MC1 block doble hilada 0.15+0.15</t>
        </is>
      </c>
      <c r="D63" s="8" t="inlineStr"/>
      <c r="E63" s="10" t="n">
        <v>0.3</v>
      </c>
      <c r="F63" s="10" t="n">
        <v>0.969</v>
      </c>
      <c r="G63" s="10">
        <f>IF(Parámetros!$B$6="","",Parámetros!$B$6)</f>
        <v/>
      </c>
      <c r="H63" s="10">
        <f>IF(G63="","",F63*G63)</f>
        <v/>
      </c>
      <c r="I63" s="8" t="inlineStr"/>
      <c r="J63" s="8" t="inlineStr">
        <is>
          <t>-16.34, -12.89</t>
        </is>
      </c>
      <c r="K63" s="8" t="inlineStr">
        <is>
          <t>-15.80, -12.09</t>
        </is>
      </c>
    </row>
    <row r="64">
      <c r="A64" s="8" t="inlineStr">
        <is>
          <t>MC-19</t>
        </is>
      </c>
      <c r="B64" s="8" t="inlineStr">
        <is>
          <t>Muro de contención</t>
        </is>
      </c>
      <c r="C64" s="9" t="inlineStr">
        <is>
          <t>Muro MC1 block doble hilada 0.15+0.15</t>
        </is>
      </c>
      <c r="D64" s="8" t="inlineStr">
        <is>
          <t>M21</t>
        </is>
      </c>
      <c r="E64" s="10" t="n">
        <v>0.3</v>
      </c>
      <c r="F64" s="10" t="n">
        <v>0.801</v>
      </c>
      <c r="G64" s="10">
        <f>IF(Parámetros!$B$6="","",Parámetros!$B$6)</f>
        <v/>
      </c>
      <c r="H64" s="10">
        <f>IF(G64="","",F64*G64)</f>
        <v/>
      </c>
      <c r="I64" s="8" t="inlineStr"/>
      <c r="J64" s="8" t="inlineStr">
        <is>
          <t>1.74, 7.88</t>
        </is>
      </c>
      <c r="K64" s="8" t="inlineStr">
        <is>
          <t>1.74, 8.68</t>
        </is>
      </c>
    </row>
    <row r="65">
      <c r="A65" s="8" t="inlineStr">
        <is>
          <t>MC-20</t>
        </is>
      </c>
      <c r="B65" s="8" t="inlineStr">
        <is>
          <t>Muro de contención</t>
        </is>
      </c>
      <c r="C65" s="9" t="inlineStr">
        <is>
          <t>Muro MC1 block doble hilada 0.15+0.15</t>
        </is>
      </c>
      <c r="D65" s="8" t="inlineStr">
        <is>
          <t>M5</t>
        </is>
      </c>
      <c r="E65" s="10" t="n">
        <v>0.3</v>
      </c>
      <c r="F65" s="10" t="n">
        <v>0.79</v>
      </c>
      <c r="G65" s="10">
        <f>IF(Parámetros!$B$6="","",Parámetros!$B$6)</f>
        <v/>
      </c>
      <c r="H65" s="10">
        <f>IF(G65="","",F65*G65)</f>
        <v/>
      </c>
      <c r="I65" s="8" t="inlineStr"/>
      <c r="J65" s="8" t="inlineStr">
        <is>
          <t>-20.85, -10.38</t>
        </is>
      </c>
      <c r="K65" s="8" t="inlineStr">
        <is>
          <t>-21.62, -10.19</t>
        </is>
      </c>
    </row>
    <row r="66">
      <c r="A66" s="8" t="inlineStr">
        <is>
          <t>MC-21</t>
        </is>
      </c>
      <c r="B66" s="8" t="inlineStr">
        <is>
          <t>Muro de contención</t>
        </is>
      </c>
      <c r="C66" s="9" t="inlineStr">
        <is>
          <t>Muro MC1 block doble hilada 0.15+0.15</t>
        </is>
      </c>
      <c r="D66" s="8" t="inlineStr"/>
      <c r="E66" s="10" t="n">
        <v>0.3</v>
      </c>
      <c r="F66" s="10" t="n">
        <v>0.45</v>
      </c>
      <c r="G66" s="10">
        <f>IF(Parámetros!$B$6="","",Parámetros!$B$6)</f>
        <v/>
      </c>
      <c r="H66" s="10">
        <f>IF(G66="","",F66*G66)</f>
        <v/>
      </c>
      <c r="I66" s="8" t="inlineStr"/>
      <c r="J66" s="8" t="inlineStr">
        <is>
          <t>6.28, 5.71</t>
        </is>
      </c>
      <c r="K66" s="8" t="inlineStr">
        <is>
          <t>5.87, 5.89</t>
        </is>
      </c>
    </row>
    <row r="67">
      <c r="A67" s="8" t="inlineStr">
        <is>
          <t>MC-22</t>
        </is>
      </c>
      <c r="B67" s="8" t="inlineStr">
        <is>
          <t>Muro de contención</t>
        </is>
      </c>
      <c r="C67" s="9" t="inlineStr">
        <is>
          <t>Muro MC1 block doble hilada 0.15+0.15</t>
        </is>
      </c>
      <c r="D67" s="8" t="inlineStr"/>
      <c r="E67" s="10" t="n">
        <v>0.3</v>
      </c>
      <c r="F67" s="10" t="n">
        <v>0.45</v>
      </c>
      <c r="G67" s="10">
        <f>IF(Parámetros!$B$6="","",Parámetros!$B$6)</f>
        <v/>
      </c>
      <c r="H67" s="10">
        <f>IF(G67="","",F67*G67)</f>
        <v/>
      </c>
      <c r="I67" s="8" t="inlineStr"/>
      <c r="J67" s="8" t="inlineStr">
        <is>
          <t>11.04, 3.73</t>
        </is>
      </c>
      <c r="K67" s="8" t="inlineStr">
        <is>
          <t>10.62, 3.91</t>
        </is>
      </c>
    </row>
    <row r="68">
      <c r="A68" s="8" t="inlineStr">
        <is>
          <t>MC-23</t>
        </is>
      </c>
      <c r="B68" s="8" t="inlineStr">
        <is>
          <t>Muro de contención</t>
        </is>
      </c>
      <c r="C68" s="9" t="inlineStr">
        <is>
          <t>Muro MC1 block doble hilada 0.15+0.15</t>
        </is>
      </c>
      <c r="D68" s="8" t="inlineStr"/>
      <c r="E68" s="10" t="n">
        <v>0.3</v>
      </c>
      <c r="F68" s="10" t="n">
        <v>0.4</v>
      </c>
      <c r="G68" s="10">
        <f>IF(Parámetros!$B$6="","",Parámetros!$B$6)</f>
        <v/>
      </c>
      <c r="H68" s="10">
        <f>IF(G68="","",F68*G68)</f>
        <v/>
      </c>
      <c r="I68" s="8" t="inlineStr"/>
      <c r="J68" s="8" t="inlineStr">
        <is>
          <t>8.58, 4.76</t>
        </is>
      </c>
      <c r="K68" s="8" t="inlineStr">
        <is>
          <t>8.21, 4.91</t>
        </is>
      </c>
    </row>
    <row r="69">
      <c r="A69" s="14" t="inlineStr">
        <is>
          <t>TOTAL</t>
        </is>
      </c>
      <c r="B69" s="14" t="inlineStr"/>
      <c r="C69" s="14" t="inlineStr"/>
      <c r="D69" s="14" t="inlineStr"/>
      <c r="E69" s="14" t="inlineStr"/>
      <c r="F69" s="15">
        <f>SUM(F5:F68)</f>
        <v/>
      </c>
      <c r="G69" s="14" t="inlineStr"/>
      <c r="H69" s="15">
        <f>IF(COUNT(H5:H68)&lt;COUNTA(A5:A68),"pendiente",SUM(H5:H68))</f>
        <v/>
      </c>
      <c r="I69" s="14" t="inlineStr"/>
      <c r="J69" s="14" t="inlineStr"/>
      <c r="K69" s="14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9" customWidth="1" min="4" max="4"/>
    <col width="9" customWidth="1" min="5" max="5"/>
    <col width="13" customWidth="1" min="6" max="6"/>
    <col width="15" customWidth="1" min="7" max="7"/>
    <col width="46" customWidth="1" min="8" max="8"/>
  </cols>
  <sheetData>
    <row r="1">
      <c r="A1" s="1" t="inlineStr">
        <is>
          <t>VANOS – DEDUCCIÓN</t>
        </is>
      </c>
    </row>
    <row r="2">
      <c r="A2" s="2" t="inlineStr">
        <is>
          <t>Proyecto: Casa JPS – Sótano | Planos S-1 (DXF), S-7 y S-8 (PDF) | Rev. 1 – 2026-10-12 | Unidades: m, m²</t>
        </is>
      </c>
    </row>
    <row r="4">
      <c r="A4" s="4" t="inlineStr">
        <is>
          <t>ID</t>
        </is>
      </c>
      <c r="B4" s="4" t="inlineStr">
        <is>
          <t>Muro</t>
        </is>
      </c>
      <c r="C4" s="4" t="inlineStr">
        <is>
          <t>Tipo de muro</t>
        </is>
      </c>
      <c r="D4" s="4" t="inlineStr">
        <is>
          <t>Ancho</t>
        </is>
      </c>
      <c r="E4" s="4" t="inlineStr">
        <is>
          <t>Alto</t>
        </is>
      </c>
      <c r="F4" s="4" t="inlineStr">
        <is>
          <t>Área a deducir</t>
        </is>
      </c>
      <c r="G4" s="4" t="inlineStr">
        <is>
          <t>Centro X,Y</t>
        </is>
      </c>
      <c r="H4" s="4" t="inlineStr">
        <is>
          <t>Observaciones</t>
        </is>
      </c>
    </row>
    <row r="5">
      <c r="A5" s="8" t="inlineStr">
        <is>
          <t>V-01</t>
        </is>
      </c>
      <c r="B5" s="8" t="inlineStr">
        <is>
          <t>M-24</t>
        </is>
      </c>
      <c r="C5" s="9" t="inlineStr">
        <is>
          <t>Muro block 0.15 que carga</t>
        </is>
      </c>
      <c r="D5" s="10" t="n">
        <v>0.7</v>
      </c>
      <c r="E5" s="10">
        <f>IF(Parámetros!$B$7="","",Parámetros!$B$7)</f>
        <v/>
      </c>
      <c r="F5" s="10">
        <f>IF(E5="","",D5*E5)</f>
        <v/>
      </c>
      <c r="G5" s="8" t="inlineStr">
        <is>
          <t>-3.82, -0.59</t>
        </is>
      </c>
      <c r="H5" s="9" t="inlineStr">
        <is>
          <t>Hueco colineal entre M-24 y M-34; muro trazado a altura total sobre el vano</t>
        </is>
      </c>
    </row>
    <row r="6">
      <c r="A6" s="8" t="inlineStr">
        <is>
          <t>V-02</t>
        </is>
      </c>
      <c r="B6" s="8" t="inlineStr">
        <is>
          <t>M-27</t>
        </is>
      </c>
      <c r="C6" s="9" t="inlineStr">
        <is>
          <t>Muro block 0.15 que carga</t>
        </is>
      </c>
      <c r="D6" s="10" t="n">
        <v>0.9</v>
      </c>
      <c r="E6" s="10">
        <f>IF(Parámetros!$B$7="","",Parámetros!$B$7)</f>
        <v/>
      </c>
      <c r="F6" s="10">
        <f>IF(E6="","",D6*E6)</f>
        <v/>
      </c>
      <c r="G6" s="8" t="inlineStr">
        <is>
          <t>-3.89, 1.16</t>
        </is>
      </c>
      <c r="H6" s="9" t="inlineStr">
        <is>
          <t>Hueco colineal entre M-27 y M-33; muro trazado a altura total sobre el vano</t>
        </is>
      </c>
    </row>
    <row r="7">
      <c r="A7" s="8" t="inlineStr">
        <is>
          <t>V-03</t>
        </is>
      </c>
      <c r="B7" s="8" t="inlineStr">
        <is>
          <t>M-30</t>
        </is>
      </c>
      <c r="C7" s="9" t="inlineStr">
        <is>
          <t>Muro block 0.15 que carga</t>
        </is>
      </c>
      <c r="D7" s="10" t="n">
        <v>0.9</v>
      </c>
      <c r="E7" s="10">
        <f>IF(Parámetros!$B$7="","",Parámetros!$B$7)</f>
        <v/>
      </c>
      <c r="F7" s="10">
        <f>IF(E7="","",D7*E7)</f>
        <v/>
      </c>
      <c r="G7" s="8" t="inlineStr">
        <is>
          <t>-8.76, 1.16</t>
        </is>
      </c>
      <c r="H7" s="9" t="inlineStr">
        <is>
          <t>Hueco colineal entre M-30 y M-38; muro trazado a altura total sobre el vano</t>
        </is>
      </c>
    </row>
    <row r="8">
      <c r="A8" s="8" t="inlineStr">
        <is>
          <t>V-04</t>
        </is>
      </c>
      <c r="B8" s="8" t="inlineStr">
        <is>
          <t>M-37</t>
        </is>
      </c>
      <c r="C8" s="9" t="inlineStr">
        <is>
          <t>Muro block 0.15 que carga</t>
        </is>
      </c>
      <c r="D8" s="10" t="n">
        <v>0.6</v>
      </c>
      <c r="E8" s="10">
        <f>IF(Parámetros!$B$7="","",Parámetros!$B$7)</f>
        <v/>
      </c>
      <c r="F8" s="10">
        <f>IF(E8="","",D8*E8)</f>
        <v/>
      </c>
      <c r="G8" s="8" t="inlineStr">
        <is>
          <t>-2.69, -2.66</t>
        </is>
      </c>
      <c r="H8" s="9" t="inlineStr">
        <is>
          <t>Hueco colineal entre M-37 y M-32; muro trazado a altura total sobre el vano</t>
        </is>
      </c>
    </row>
    <row r="9">
      <c r="A9" s="8" t="inlineStr">
        <is>
          <t>V-05</t>
        </is>
      </c>
      <c r="B9" s="8" t="inlineStr">
        <is>
          <t>M-52</t>
        </is>
      </c>
      <c r="C9" s="9" t="inlineStr">
        <is>
          <t>Muro block 0.15 que no carga</t>
        </is>
      </c>
      <c r="D9" s="10" t="n">
        <v>0.652</v>
      </c>
      <c r="E9" s="10">
        <f>IF(Parámetros!$B$7="","",Parámetros!$B$7)</f>
        <v/>
      </c>
      <c r="F9" s="10">
        <f>IF(E9="","",D9*E9)</f>
        <v/>
      </c>
      <c r="G9" s="8" t="inlineStr">
        <is>
          <t>-2.41, -2.66</t>
        </is>
      </c>
      <c r="H9" s="9" t="inlineStr">
        <is>
          <t>Hueco colineal entre M-52 y M-46; muro trazado a altura total sobre el vano</t>
        </is>
      </c>
    </row>
    <row r="10">
      <c r="A10" s="14" t="inlineStr">
        <is>
          <t>TOTAL</t>
        </is>
      </c>
      <c r="B10" s="14" t="inlineStr"/>
      <c r="C10" s="14" t="inlineStr"/>
      <c r="D10" s="15">
        <f>SUM(D5:D9)</f>
        <v/>
      </c>
      <c r="E10" s="14" t="inlineStr"/>
      <c r="F10" s="15">
        <f>IF(COUNT(F5:F9)&lt;COUNTA(A5:A9),"pendiente",SUM(F5:F9))</f>
        <v/>
      </c>
      <c r="G10" s="14" t="inlineStr"/>
      <c r="H10" s="14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2" customWidth="1" min="3" max="3"/>
    <col width="36" customWidth="1" min="4" max="4"/>
  </cols>
  <sheetData>
    <row r="1">
      <c r="A1" s="1" t="inlineStr">
        <is>
          <t>PENDIENTES, RFI Y SUPUESTOS</t>
        </is>
      </c>
    </row>
    <row r="2">
      <c r="A2" s="2" t="inlineStr">
        <is>
          <t>Proyecto: Casa JPS – Sótano | Planos S-1 (DXF), S-7 y S-8 (PDF) | Rev. 1 – 2026-10-12 | Unidades: m, m²</t>
        </is>
      </c>
    </row>
    <row r="4">
      <c r="A4" s="4" t="inlineStr">
        <is>
          <t>No.</t>
        </is>
      </c>
      <c r="B4" s="4" t="inlineStr">
        <is>
          <t>Tipo</t>
        </is>
      </c>
      <c r="C4" s="4" t="inlineStr">
        <is>
          <t>Descripción</t>
        </is>
      </c>
      <c r="D4" s="4" t="inlineStr">
        <is>
          <t>Impacto</t>
        </is>
      </c>
    </row>
    <row r="5" ht="42" customHeight="1">
      <c r="A5" s="8" t="n">
        <v>1</v>
      </c>
      <c r="B5" s="8" t="inlineStr">
        <is>
          <t>Resuelto</t>
        </is>
      </c>
      <c r="C5" s="9" t="inlineStr">
        <is>
          <t>Alturas tomadas de los cortes S-7 (A, B) y S-8 (C, D): corona de cimiento −4.65 a NPT −0.35 = 4.30 m, igual para muros de edificación y MC1.</t>
        </is>
      </c>
      <c r="D5" s="9" t="inlineStr"/>
    </row>
    <row r="6" ht="42" customHeight="1">
      <c r="A6" s="8" t="n">
        <v>2</v>
      </c>
      <c r="B6" s="8" t="inlineStr">
        <is>
          <t>RFI</t>
        </is>
      </c>
      <c r="C6" s="9" t="inlineStr">
        <is>
          <t>En S-7 Secc. A la losa sube a NPT 0.00 entre ejes 6 y 5; los muros bajo esa zona miden 4.65 m. Sin el xref de ejes no se puede ubicar en planta.</t>
        </is>
      </c>
      <c r="D6" s="9" t="inlineStr">
        <is>
          <t>+0.35 m en los muros de esa zona</t>
        </is>
      </c>
    </row>
    <row r="7" ht="42" customHeight="1">
      <c r="A7" s="8" t="n">
        <v>3</v>
      </c>
      <c r="B7" s="8" t="inlineStr">
        <is>
          <t>Supuesto</t>
        </is>
      </c>
      <c r="C7" s="9" t="inlineStr">
        <is>
          <t>Altura de vanos 2.10 m solo para la deducción; el muro se cuantifica a altura total también sobre el vano (regla de cuantificación).</t>
        </is>
      </c>
      <c r="D7" s="9" t="inlineStr">
        <is>
          <t>Ajustar con plano arquitectónico</t>
        </is>
      </c>
    </row>
    <row r="8" ht="42" customHeight="1">
      <c r="A8" s="8" t="n">
        <v>4</v>
      </c>
      <c r="B8" s="8" t="inlineStr">
        <is>
          <t>Dato faltante</t>
        </is>
      </c>
      <c r="C8" s="9" t="inlineStr">
        <is>
          <t>Tipos de muro M1–M35 (etiquetas del plano) se definen en Xref_Muros_Sotano, no incluido. Se clasificó por capa y leyenda: rojo = carga, gris = no carga; doble hilada sobre MC1 = muro de contención.</t>
        </is>
      </c>
      <c r="D8" s="9" t="inlineStr">
        <is>
          <t>Especificación de block y refuerzo</t>
        </is>
      </c>
    </row>
    <row r="9" ht="42" customHeight="1">
      <c r="A9" s="8" t="n">
        <v>5</v>
      </c>
      <c r="B9" s="8" t="inlineStr">
        <is>
          <t>Supuesto</t>
        </is>
      </c>
      <c r="C9" s="9" t="inlineStr">
        <is>
          <t>Vanos detectados como huecos colineales de 0.55–2.50 m en muros de edificación (5 vanos). Puede haber vanos junto a esquinas no detectables sin plano arquitectónico.</t>
        </is>
      </c>
      <c r="D9" s="9" t="inlineStr">
        <is>
          <t>Deducción de vanos</t>
        </is>
      </c>
    </row>
    <row r="10" ht="42" customHeight="1">
      <c r="A10" s="8" t="n">
        <v>6</v>
      </c>
      <c r="B10" s="8" t="inlineStr">
        <is>
          <t>Supuesto</t>
        </is>
      </c>
      <c r="C10" s="9" t="inlineStr">
        <is>
          <t>Huecos 0.10–0.85 m entre tramos = columnas o mochetas (no muro): MC-07→MC-13 0.60, MC-09→MC-16 0.50, M-56→M-58 0.50, MC-10→MC-09 0.20, MC-11→MC-10 0.60, MC-14→MC-06 0.50, M-59→M-56 0.22, MC-17→MC-18 0.60, MC-18→MC-14 0.30, M-33→M-26 0.15, MC-20→MC-07 0.80, M-35→M-29 0.30, M-39→M-28 0.15, M-41→M-49 0.36, M-42→M-41 0.36, M-49→M-40 0.36</t>
        </is>
      </c>
      <c r="D10" s="9" t="inlineStr">
        <is>
          <t>Se cuantifican en columnas/mochetas</t>
        </is>
      </c>
    </row>
    <row r="11" ht="42" customHeight="1">
      <c r="A11" s="8" t="n">
        <v>7</v>
      </c>
      <c r="B11" s="8" t="inlineStr">
        <is>
          <t>RFI</t>
        </is>
      </c>
      <c r="C11" s="9" t="inlineStr">
        <is>
          <t>M-40, M-41, M-42 y M-49 (block que no carga, y = 7.81) corren paralelos al muro MC1 a 0.88 m, sobre su cimiento. Confirmar si forman parte del sistema MC1 (cámara) o son muros de edificación.</t>
        </is>
      </c>
      <c r="D11" s="9" t="inlineStr">
        <is>
          <t>11.63 ml</t>
        </is>
      </c>
    </row>
    <row r="12" ht="42" customHeight="1">
      <c r="A12" s="8" t="n">
        <v>8</v>
      </c>
      <c r="B12" s="8" t="inlineStr">
        <is>
          <t>RFI</t>
        </is>
      </c>
      <c r="C12" s="9" t="inlineStr">
        <is>
          <t>Remates de doble hilada al NE, fuera de Z1-d y Z1-e (MC-16, MC-21, MC-22, MC-23), se incluyeron como muro MC1.</t>
        </is>
      </c>
      <c r="D12" s="9" t="inlineStr">
        <is>
          <t>3.14 ml</t>
        </is>
      </c>
    </row>
    <row r="13" ht="42" customHeight="1">
      <c r="A13" s="8" t="n">
        <v>9</v>
      </c>
      <c r="B13" s="8" t="inlineStr">
        <is>
          <t>Verificación</t>
        </is>
      </c>
      <c r="C13" s="9" t="inlineStr">
        <is>
          <t>Longitud por eje vs. conteo de unidades (n × 0.40): MC1 −2.3 %, 0.15 carga −5.3 %, 0.20 carga −4.3 %, 0.15 no carga −10.4 %. Las unidades se dibujaron traslapadas (paso real 0.36–0.39 m); manda la longitud por eje.</t>
        </is>
      </c>
      <c r="D13" s="9" t="inlineStr"/>
    </row>
    <row r="14" ht="42" customHeight="1">
      <c r="A14" s="8" t="n">
        <v>10</v>
      </c>
      <c r="B14" s="8" t="inlineStr">
        <is>
          <t>Limitación</t>
        </is>
      </c>
      <c r="C14" s="9" t="inlineStr">
        <is>
          <t>Los muros se entregan como bloques con atributos (doble clic) por tramo; no es el bloque dinámico de muro de proyectos anteriores (no está disponible aquí). Sustituir en AutoCAD si se requiere.</t>
        </is>
      </c>
      <c r="D14" s="9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2026-10-12T22:16:31Z</dcterms:created>
  <dcterms:modified xmlns:dcterms="http://purl.org/dc/terms/" xmlns:xsi="http://www.w3.org/2001/XMLSchema-instance" xsi:type="dcterms:W3CDTF">2026-10-12T22:16:31Z</dcterms:modified>
</cp:coreProperties>
</file>