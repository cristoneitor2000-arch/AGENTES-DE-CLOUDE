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ZAPATAS" sheetId="3" state="visible" r:id="rId3"/>
    <sheet xmlns:r="http://schemas.openxmlformats.org/officeDocument/2006/relationships" name="CIMIENTOS CORRIDOS" sheetId="4" state="visible" r:id="rId4"/>
    <sheet xmlns:r="http://schemas.openxmlformats.org/officeDocument/2006/relationships" name="OBSERVACIONES Y 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0" customWidth="1" min="1" max="1"/>
    <col width="9" customWidth="1" min="2" max="2"/>
    <col width="12" customWidth="1" min="3" max="3"/>
    <col width="22" customWidth="1" min="4" max="4"/>
  </cols>
  <sheetData>
    <row r="1">
      <c r="A1" s="1" t="inlineStr">
        <is>
          <t>CASA JPS - RESUMEN CUANTIFICACION DE CIMENTACION (SOTANO, plano S-1)</t>
        </is>
      </c>
      <c r="B1" s="2" t="n"/>
      <c r="C1" s="2" t="n"/>
      <c r="D1" s="3" t="n"/>
    </row>
    <row r="3">
      <c r="A3" s="4" t="inlineStr">
        <is>
          <t>Concepto</t>
        </is>
      </c>
      <c r="B3" s="4" t="inlineStr">
        <is>
          <t>Unidad</t>
        </is>
      </c>
      <c r="C3" s="4" t="inlineStr">
        <is>
          <t>Cantidad</t>
        </is>
      </c>
      <c r="D3" s="4" t="inlineStr">
        <is>
          <t>Fuente</t>
        </is>
      </c>
    </row>
    <row r="4">
      <c r="A4" s="5" t="inlineStr">
        <is>
          <t>Zapatas (todas) - cantidad</t>
        </is>
      </c>
      <c r="B4" s="5" t="inlineStr">
        <is>
          <t>unidad</t>
        </is>
      </c>
      <c r="C4" s="6">
        <f>ZAPATAS!I20</f>
        <v/>
      </c>
      <c r="D4" s="5" t="inlineStr">
        <is>
          <t>ZAPATAS</t>
        </is>
      </c>
    </row>
    <row r="5">
      <c r="A5" s="5" t="inlineStr">
        <is>
          <t>Concreto zapatas</t>
        </is>
      </c>
      <c r="B5" s="5" t="inlineStr">
        <is>
          <t>m3</t>
        </is>
      </c>
      <c r="C5" s="6">
        <f>ZAPATAS!K20</f>
        <v/>
      </c>
      <c r="D5" s="5" t="inlineStr">
        <is>
          <t>ZAPATAS</t>
        </is>
      </c>
    </row>
    <row r="6">
      <c r="A6" s="5" t="inlineStr">
        <is>
          <t>Cimiento CC1 0.70x0.25 fuera de zapata</t>
        </is>
      </c>
      <c r="B6" s="5" t="inlineStr">
        <is>
          <t>ml</t>
        </is>
      </c>
      <c r="C6" s="6">
        <f>'CIMIENTOS CORRIDOS'!K4</f>
        <v/>
      </c>
      <c r="D6" s="5" t="inlineStr">
        <is>
          <t>CIMIENTOS CORRIDOS</t>
        </is>
      </c>
    </row>
    <row r="7">
      <c r="A7" s="5" t="inlineStr">
        <is>
          <t>Cimiento MC1 1.00x0.30 fuera de zapata</t>
        </is>
      </c>
      <c r="B7" s="5" t="inlineStr">
        <is>
          <t>ml</t>
        </is>
      </c>
      <c r="C7" s="6">
        <f>'CIMIENTOS CORRIDOS'!K5</f>
        <v/>
      </c>
      <c r="D7" s="5" t="inlineStr">
        <is>
          <t>CIMIENTOS CORRIDOS</t>
        </is>
      </c>
    </row>
    <row r="8">
      <c r="A8" s="5" t="inlineStr">
        <is>
          <t>Franja 0.82 (MC1?) fuera de zapata - RFI-03</t>
        </is>
      </c>
      <c r="B8" s="5" t="inlineStr">
        <is>
          <t>ml</t>
        </is>
      </c>
      <c r="C8" s="6">
        <f>'CIMIENTOS CORRIDOS'!K6</f>
        <v/>
      </c>
      <c r="D8" s="5" t="inlineStr">
        <is>
          <t>CIMIENTOS CORRIDOS</t>
        </is>
      </c>
    </row>
    <row r="9">
      <c r="A9" s="5" t="inlineStr">
        <is>
          <t>Solera de amarre SA 0.30x0.30</t>
        </is>
      </c>
      <c r="B9" s="5" t="inlineStr">
        <is>
          <t>ml</t>
        </is>
      </c>
      <c r="C9" s="6">
        <f>'CIMIENTOS CORRIDOS'!K7</f>
        <v/>
      </c>
      <c r="D9" s="5" t="inlineStr">
        <is>
          <t>CIMIENTOS CORRIDOS</t>
        </is>
      </c>
    </row>
    <row r="10">
      <c r="A10" s="5" t="inlineStr">
        <is>
          <t>Concreto cimientos corridos + SA</t>
        </is>
      </c>
      <c r="B10" s="5" t="inlineStr">
        <is>
          <t>m3</t>
        </is>
      </c>
      <c r="C10" s="6">
        <f>'CIMIENTOS CORRIDOS'!L8</f>
        <v/>
      </c>
      <c r="D10" s="5" t="inlineStr">
        <is>
          <t>CIMIENTOS CORRIDOS</t>
        </is>
      </c>
    </row>
    <row r="11">
      <c r="A11" s="1" t="inlineStr">
        <is>
          <t>CONCRETO TOTAL CIMENTACION</t>
        </is>
      </c>
      <c r="B11" s="5" t="inlineStr">
        <is>
          <t>m3</t>
        </is>
      </c>
      <c r="C11" s="7">
        <f>C5+C10</f>
        <v/>
      </c>
      <c r="D11" s="5" t="inlineStr"/>
    </row>
    <row r="12">
      <c r="A12" s="5" t="inlineStr">
        <is>
          <t>Excavacion</t>
        </is>
      </c>
      <c r="B12" s="5" t="inlineStr">
        <is>
          <t>m3</t>
        </is>
      </c>
      <c r="C12" s="6">
        <f>ZAPATAS!L20+'CIMIENTOS CORRIDOS'!M8</f>
        <v/>
      </c>
      <c r="D12" s="5" t="inlineStr"/>
    </row>
    <row r="13">
      <c r="A13" s="5" t="inlineStr">
        <is>
          <t>Relleno compactado</t>
        </is>
      </c>
      <c r="B13" s="5" t="inlineStr">
        <is>
          <t>m3</t>
        </is>
      </c>
      <c r="C13" s="6">
        <f>ZAPATAS!M20+'CIMIENTOS CORRIDOS'!N8</f>
        <v/>
      </c>
      <c r="D13" s="5" t="inlineStr"/>
    </row>
    <row r="14">
      <c r="A14" s="5" t="inlineStr">
        <is>
          <t>Extraccion de material (excavacion x abundamiento, criterio libro V2)</t>
        </is>
      </c>
      <c r="B14" s="5" t="inlineStr">
        <is>
          <t>m3</t>
        </is>
      </c>
      <c r="C14" s="6">
        <f>ZAPATAS!N20+'CIMIENTOS CORRIDOS'!O8</f>
        <v/>
      </c>
      <c r="D14" s="5" t="inlineStr"/>
    </row>
    <row r="15">
      <c r="A15" s="5" t="inlineStr">
        <is>
          <t>Extraccion de sobrante si se rellena con material propio: (Exc - Relleno) x abundamiento</t>
        </is>
      </c>
      <c r="B15" s="5" t="inlineStr">
        <is>
          <t>m3</t>
        </is>
      </c>
      <c r="C15" s="6">
        <f>(C12-C13)*PARAMETROS!B4</f>
        <v/>
      </c>
      <c r="D15" s="5" t="inlineStr">
        <is>
          <t>Alternativa</t>
        </is>
      </c>
    </row>
    <row r="16">
      <c r="A16" s="5" t="inlineStr">
        <is>
          <t>Concreto de limpieza e=0.03</t>
        </is>
      </c>
      <c r="B16" s="5" t="inlineStr">
        <is>
          <t>m3</t>
        </is>
      </c>
      <c r="C16" s="6">
        <f>ZAPATAS!O20+'CIMIENTOS CORRIDOS'!P8</f>
        <v/>
      </c>
      <c r="D16" s="5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14" customWidth="1" min="4" max="4"/>
    <col width="60" customWidth="1" min="5" max="5"/>
  </cols>
  <sheetData>
    <row r="1">
      <c r="A1" s="1" t="inlineStr">
        <is>
          <t>CASA JPS - CUANTIFICACION DE CIMENTACION (SOTANO) - PARAMETROS</t>
        </is>
      </c>
      <c r="B1" s="2" t="n"/>
      <c r="C1" s="2" t="n"/>
      <c r="D1" s="2" t="n"/>
      <c r="E1" s="3" t="n"/>
    </row>
    <row r="3">
      <c r="A3" s="4" t="inlineStr">
        <is>
          <t>Parametro</t>
        </is>
      </c>
      <c r="B3" s="4" t="inlineStr">
        <is>
          <t>Valor</t>
        </is>
      </c>
      <c r="C3" s="4" t="inlineStr">
        <is>
          <t>Unidad</t>
        </is>
      </c>
      <c r="D3" s="4" t="inlineStr">
        <is>
          <t>Etiqueta</t>
        </is>
      </c>
      <c r="E3" s="4" t="inlineStr">
        <is>
          <t>Fuente</t>
        </is>
      </c>
    </row>
    <row r="4">
      <c r="A4" s="5" t="inlineStr">
        <is>
          <t>Factor de abundamiento (extraccion)</t>
        </is>
      </c>
      <c r="B4" s="6" t="n">
        <v>1.35</v>
      </c>
      <c r="C4" s="5" t="inlineStr">
        <is>
          <t>-</t>
        </is>
      </c>
      <c r="D4" s="5" t="inlineStr">
        <is>
          <t>[Supuesto]</t>
        </is>
      </c>
      <c r="E4" s="5" t="inlineStr">
        <is>
          <t>Criterio del libro Cuant Obra Gris V2 (L6=J6*1.35)</t>
        </is>
      </c>
    </row>
    <row r="5">
      <c r="A5" s="5" t="inlineStr">
        <is>
          <t>Espesor concreto de limpieza / pastilla</t>
        </is>
      </c>
      <c r="B5" s="6" t="n">
        <v>0.03</v>
      </c>
      <c r="C5" s="5" t="inlineStr">
        <is>
          <t>m</t>
        </is>
      </c>
      <c r="D5" s="5" t="inlineStr">
        <is>
          <t>[Supuesto]</t>
        </is>
      </c>
      <c r="E5" s="5" t="inlineStr">
        <is>
          <t>Encabezado M5 del libro V2 (e=0.03 m)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  <col width="30" customWidth="1" min="17" max="17"/>
    <col width="60" customWidth="1" min="18" max="18"/>
  </cols>
  <sheetData>
    <row r="1">
      <c r="A1" s="1" t="inlineStr">
        <is>
          <t>ZAPATAS - SOTANO (plano S-1 Rev C, 18-ago-2026)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3">
      <c r="A3" s="4" t="inlineStr">
        <is>
          <t>Elemento</t>
        </is>
      </c>
      <c r="B3" s="4" t="inlineStr">
        <is>
          <t>Ubicacion (centro X,Y m)</t>
        </is>
      </c>
      <c r="C3" s="4" t="inlineStr">
        <is>
          <t>Lado A en planta (m)</t>
        </is>
      </c>
      <c r="D3" s="4" t="inlineStr">
        <is>
          <t>Lado B en planta (m)</t>
        </is>
      </c>
      <c r="E3" s="4" t="inlineStr">
        <is>
          <t>B planilla (m)</t>
        </is>
      </c>
      <c r="F3" s="4" t="inlineStr">
        <is>
          <t>D planilla (m)</t>
        </is>
      </c>
      <c r="G3" s="4" t="inlineStr">
        <is>
          <t>Espesor t (m)</t>
        </is>
      </c>
      <c r="H3" s="4" t="inlineStr">
        <is>
          <t>Prof. desplante Df (m)</t>
        </is>
      </c>
      <c r="I3" s="4" t="inlineStr">
        <is>
          <t>Cantidad</t>
        </is>
      </c>
      <c r="J3" s="4" t="inlineStr">
        <is>
          <t>Area planta (m2)</t>
        </is>
      </c>
      <c r="K3" s="4" t="inlineStr">
        <is>
          <t>Concreto (m3)</t>
        </is>
      </c>
      <c r="L3" s="4" t="inlineStr">
        <is>
          <t>Excavacion (m3)</t>
        </is>
      </c>
      <c r="M3" s="4" t="inlineStr">
        <is>
          <t>Relleno (m3)</t>
        </is>
      </c>
      <c r="N3" s="4" t="inlineStr">
        <is>
          <t>Extraccion (m3)</t>
        </is>
      </c>
      <c r="O3" s="4" t="inlineStr">
        <is>
          <t>Concreto limpieza (m3)</t>
        </is>
      </c>
      <c r="P3" s="4" t="inlineStr">
        <is>
          <t>Metodo</t>
        </is>
      </c>
      <c r="Q3" s="4" t="inlineStr">
        <is>
          <t>Fuente t y Df</t>
        </is>
      </c>
      <c r="R3" s="4" t="inlineStr">
        <is>
          <t>Observaciones</t>
        </is>
      </c>
    </row>
    <row r="4">
      <c r="A4" s="5" t="inlineStr">
        <is>
          <t>Z3-a</t>
        </is>
      </c>
      <c r="B4" s="5" t="inlineStr">
        <is>
          <t>(-11.24, 1.33)</t>
        </is>
      </c>
      <c r="C4" s="8" t="n">
        <v>3.3</v>
      </c>
      <c r="D4" s="8" t="n">
        <v>3.3</v>
      </c>
      <c r="E4" s="6" t="n">
        <v>3.3</v>
      </c>
      <c r="F4" s="6" t="n">
        <v>3.3</v>
      </c>
      <c r="G4" s="6" t="n">
        <v>0.55</v>
      </c>
      <c r="H4" s="6" t="n">
        <v>1.2</v>
      </c>
      <c r="I4" s="5" t="n">
        <v>1</v>
      </c>
      <c r="J4" s="6">
        <f>E4*F4*I4</f>
        <v/>
      </c>
      <c r="K4" s="8">
        <f>J4*G4</f>
        <v/>
      </c>
      <c r="L4" s="8">
        <f>J4*H4</f>
        <v/>
      </c>
      <c r="M4" s="8">
        <f>L4-K4</f>
        <v/>
      </c>
      <c r="N4" s="8">
        <f>L4*PARAMETROS!$B$4</f>
        <v/>
      </c>
      <c r="O4" s="8">
        <f>J4*PARAMETROS!$B$5</f>
        <v/>
      </c>
      <c r="P4" s="5" t="inlineStr">
        <is>
          <t>Conteo por etiqueta Z# en PDF S-1 Rev C; posicion: DXF (Z3-Z7) o PDF registrado (Z1, Z2, Z8)</t>
        </is>
      </c>
      <c r="Q4" s="5" t="inlineStr">
        <is>
          <t>[Dato verificado] B, D y H de la PLANILLA DE ZAPATAS (S-1 Rev C). Df [Dato no verificable] del libro V2</t>
        </is>
      </c>
      <c r="R4" s="5" t="inlineStr"/>
    </row>
    <row r="5">
      <c r="A5" s="5" t="inlineStr">
        <is>
          <t>Z3-b</t>
        </is>
      </c>
      <c r="B5" s="5" t="inlineStr">
        <is>
          <t>(-9.70, -2.11)</t>
        </is>
      </c>
      <c r="C5" s="8" t="n">
        <v>3.3</v>
      </c>
      <c r="D5" s="8" t="n">
        <v>3.3</v>
      </c>
      <c r="E5" s="6" t="n">
        <v>3.3</v>
      </c>
      <c r="F5" s="6" t="n">
        <v>3.3</v>
      </c>
      <c r="G5" s="6" t="n">
        <v>0.55</v>
      </c>
      <c r="H5" s="6" t="n">
        <v>1.2</v>
      </c>
      <c r="I5" s="5" t="n">
        <v>1</v>
      </c>
      <c r="J5" s="6">
        <f>E5*F5*I5</f>
        <v/>
      </c>
      <c r="K5" s="8">
        <f>J5*G5</f>
        <v/>
      </c>
      <c r="L5" s="8">
        <f>J5*H5</f>
        <v/>
      </c>
      <c r="M5" s="8">
        <f>L5-K5</f>
        <v/>
      </c>
      <c r="N5" s="8">
        <f>L5*PARAMETROS!$B$4</f>
        <v/>
      </c>
      <c r="O5" s="8">
        <f>J5*PARAMETROS!$B$5</f>
        <v/>
      </c>
      <c r="P5" s="5" t="inlineStr">
        <is>
          <t>Conteo por etiqueta Z# en PDF S-1 Rev C; posicion: DXF (Z3-Z7) o PDF registrado (Z1, Z2, Z8)</t>
        </is>
      </c>
      <c r="Q5" s="5" t="inlineStr">
        <is>
          <t>[Dato verificado] B, D y H de la PLANILLA DE ZAPATAS (S-1 Rev C). Df [Dato no verificable] del libro V2</t>
        </is>
      </c>
      <c r="R5" s="5" t="inlineStr"/>
    </row>
    <row r="6">
      <c r="A6" s="5" t="inlineStr">
        <is>
          <t>Z3-c</t>
        </is>
      </c>
      <c r="B6" s="5" t="inlineStr">
        <is>
          <t>(-17.01, 6.37)</t>
        </is>
      </c>
      <c r="C6" s="8" t="n">
        <v>3.3</v>
      </c>
      <c r="D6" s="8" t="n">
        <v>3.3</v>
      </c>
      <c r="E6" s="6" t="n">
        <v>3.3</v>
      </c>
      <c r="F6" s="6" t="n">
        <v>3.3</v>
      </c>
      <c r="G6" s="6" t="n">
        <v>0.55</v>
      </c>
      <c r="H6" s="6" t="n">
        <v>1.2</v>
      </c>
      <c r="I6" s="5" t="n">
        <v>1</v>
      </c>
      <c r="J6" s="6">
        <f>E6*F6*I6</f>
        <v/>
      </c>
      <c r="K6" s="8">
        <f>J6*G6</f>
        <v/>
      </c>
      <c r="L6" s="8">
        <f>J6*H6</f>
        <v/>
      </c>
      <c r="M6" s="8">
        <f>L6-K6</f>
        <v/>
      </c>
      <c r="N6" s="8">
        <f>L6*PARAMETROS!$B$4</f>
        <v/>
      </c>
      <c r="O6" s="8">
        <f>J6*PARAMETROS!$B$5</f>
        <v/>
      </c>
      <c r="P6" s="5" t="inlineStr">
        <is>
          <t>Conteo por etiqueta Z# en PDF S-1 Rev C; posicion: DXF (Z3-Z7) o PDF registrado (Z1, Z2, Z8)</t>
        </is>
      </c>
      <c r="Q6" s="5" t="inlineStr">
        <is>
          <t>[Dato verificado] B, D y H de la PLANILLA DE ZAPATAS (S-1 Rev C). Df [Dato no verificable] del libro V2</t>
        </is>
      </c>
      <c r="R6" s="5" t="inlineStr"/>
    </row>
    <row r="7">
      <c r="A7" s="5" t="inlineStr">
        <is>
          <t>Z4</t>
        </is>
      </c>
      <c r="B7" s="5" t="inlineStr">
        <is>
          <t>(-25.07, -5.75)</t>
        </is>
      </c>
      <c r="C7" s="8" t="n">
        <v>2.5</v>
      </c>
      <c r="D7" s="8" t="n">
        <v>2.5</v>
      </c>
      <c r="E7" s="6" t="n">
        <v>2.5</v>
      </c>
      <c r="F7" s="6" t="n">
        <v>2.5</v>
      </c>
      <c r="G7" s="6" t="n">
        <v>0.5</v>
      </c>
      <c r="H7" s="6" t="n">
        <v>1.15</v>
      </c>
      <c r="I7" s="5" t="n">
        <v>1</v>
      </c>
      <c r="J7" s="6">
        <f>E7*F7*I7</f>
        <v/>
      </c>
      <c r="K7" s="8">
        <f>J7*G7</f>
        <v/>
      </c>
      <c r="L7" s="8">
        <f>J7*H7</f>
        <v/>
      </c>
      <c r="M7" s="8">
        <f>L7-K7</f>
        <v/>
      </c>
      <c r="N7" s="8">
        <f>L7*PARAMETROS!$B$4</f>
        <v/>
      </c>
      <c r="O7" s="8">
        <f>J7*PARAMETROS!$B$5</f>
        <v/>
      </c>
      <c r="P7" s="5" t="inlineStr">
        <is>
          <t>Conteo por etiqueta Z# en PDF S-1 Rev C; posicion: DXF (Z3-Z7) o PDF registrado (Z1, Z2, Z8)</t>
        </is>
      </c>
      <c r="Q7" s="5" t="inlineStr">
        <is>
          <t>[Dato verificado] B, D y H de la PLANILLA DE ZAPATAS (S-1 Rev C). Df [Dato no verificable] del libro V2</t>
        </is>
      </c>
      <c r="R7" s="5" t="inlineStr"/>
    </row>
    <row r="8">
      <c r="A8" s="5" t="inlineStr">
        <is>
          <t>Z5</t>
        </is>
      </c>
      <c r="B8" s="5" t="inlineStr">
        <is>
          <t>(-16.90, -10.49)</t>
        </is>
      </c>
      <c r="C8" s="8" t="n">
        <v>3.9</v>
      </c>
      <c r="D8" s="8" t="n">
        <v>7.9</v>
      </c>
      <c r="E8" s="6" t="n">
        <v>3.9</v>
      </c>
      <c r="F8" s="6" t="n">
        <v>7.9</v>
      </c>
      <c r="G8" s="6" t="n">
        <v>0.45</v>
      </c>
      <c r="H8" s="6" t="n">
        <v>1.1</v>
      </c>
      <c r="I8" s="5" t="n">
        <v>1</v>
      </c>
      <c r="J8" s="6">
        <f>E8*F8*I8</f>
        <v/>
      </c>
      <c r="K8" s="8">
        <f>J8*G8</f>
        <v/>
      </c>
      <c r="L8" s="8">
        <f>J8*H8</f>
        <v/>
      </c>
      <c r="M8" s="8">
        <f>L8-K8</f>
        <v/>
      </c>
      <c r="N8" s="8">
        <f>L8*PARAMETROS!$B$4</f>
        <v/>
      </c>
      <c r="O8" s="8">
        <f>J8*PARAMETROS!$B$5</f>
        <v/>
      </c>
      <c r="P8" s="5" t="inlineStr">
        <is>
          <t>Conteo por etiqueta Z# en PDF S-1 Rev C; posicion: DXF (Z3-Z7) o PDF registrado (Z1, Z2, Z8)</t>
        </is>
      </c>
      <c r="Q8" s="5" t="inlineStr">
        <is>
          <t>[Dato verificado] B, D y H de la PLANILLA DE ZAPATAS (S-1 Rev C). Df [Dato no verificable] del libro V2</t>
        </is>
      </c>
      <c r="R8" s="5" t="inlineStr"/>
    </row>
    <row r="9">
      <c r="A9" s="5" t="inlineStr">
        <is>
          <t>Z6</t>
        </is>
      </c>
      <c r="B9" s="5" t="inlineStr">
        <is>
          <t>(-21.07, -8.56)</t>
        </is>
      </c>
      <c r="C9" s="8" t="n">
        <v>3.75</v>
      </c>
      <c r="D9" s="8" t="n">
        <v>3.75</v>
      </c>
      <c r="E9" s="6" t="n">
        <v>3.75</v>
      </c>
      <c r="F9" s="6" t="n">
        <v>3.75</v>
      </c>
      <c r="G9" s="6" t="n">
        <v>0.5</v>
      </c>
      <c r="H9" s="6" t="n">
        <v>1.15</v>
      </c>
      <c r="I9" s="5" t="n">
        <v>1</v>
      </c>
      <c r="J9" s="6">
        <f>E9*F9*I9</f>
        <v/>
      </c>
      <c r="K9" s="8">
        <f>J9*G9</f>
        <v/>
      </c>
      <c r="L9" s="8">
        <f>J9*H9</f>
        <v/>
      </c>
      <c r="M9" s="8">
        <f>L9-K9</f>
        <v/>
      </c>
      <c r="N9" s="8">
        <f>L9*PARAMETROS!$B$4</f>
        <v/>
      </c>
      <c r="O9" s="8">
        <f>J9*PARAMETROS!$B$5</f>
        <v/>
      </c>
      <c r="P9" s="5" t="inlineStr">
        <is>
          <t>Conteo por etiqueta Z# en PDF S-1 Rev C; posicion: DXF (Z3-Z7) o PDF registrado (Z1, Z2, Z8)</t>
        </is>
      </c>
      <c r="Q9" s="5" t="inlineStr">
        <is>
          <t>[Dato verificado] B, D y H de la PLANILLA DE ZAPATAS (S-1 Rev C). Df [Dato no verificable] del libro V2</t>
        </is>
      </c>
      <c r="R9" s="5" t="inlineStr"/>
    </row>
    <row r="10">
      <c r="A10" s="5" t="inlineStr">
        <is>
          <t>Z7</t>
        </is>
      </c>
      <c r="B10" s="5" t="inlineStr">
        <is>
          <t>(-20.76, -1.46)</t>
        </is>
      </c>
      <c r="C10" s="8" t="n">
        <v>3.3</v>
      </c>
      <c r="D10" s="8" t="n">
        <v>5.75</v>
      </c>
      <c r="E10" s="6" t="n">
        <v>3.3</v>
      </c>
      <c r="F10" s="6" t="n">
        <v>5.75</v>
      </c>
      <c r="G10" s="6" t="n">
        <v>0.55</v>
      </c>
      <c r="H10" s="6" t="n">
        <v>1.2</v>
      </c>
      <c r="I10" s="5" t="n">
        <v>1</v>
      </c>
      <c r="J10" s="6">
        <f>E10*F10*I10</f>
        <v/>
      </c>
      <c r="K10" s="8">
        <f>J10*G10</f>
        <v/>
      </c>
      <c r="L10" s="8">
        <f>J10*H10</f>
        <v/>
      </c>
      <c r="M10" s="8">
        <f>L10-K10</f>
        <v/>
      </c>
      <c r="N10" s="8">
        <f>L10*PARAMETROS!$B$4</f>
        <v/>
      </c>
      <c r="O10" s="8">
        <f>J10*PARAMETROS!$B$5</f>
        <v/>
      </c>
      <c r="P10" s="5" t="inlineStr">
        <is>
          <t>Conteo por etiqueta Z# en PDF S-1 Rev C; posicion: DXF (Z3-Z7) o PDF registrado (Z1, Z2, Z8)</t>
        </is>
      </c>
      <c r="Q10" s="5" t="inlineStr">
        <is>
          <t>[Dato verificado] B, D y H de la PLANILLA DE ZAPATAS (S-1 Rev C). Df [Dato no verificable] del libro V2</t>
        </is>
      </c>
      <c r="R10" s="5" t="inlineStr"/>
    </row>
    <row r="11">
      <c r="A11" s="5" t="inlineStr">
        <is>
          <t>Z2-a (A/6)</t>
        </is>
      </c>
      <c r="B11" s="5" t="inlineStr">
        <is>
          <t>(1.67, 7.58)</t>
        </is>
      </c>
      <c r="C11" s="8" t="n">
        <v>2.3</v>
      </c>
      <c r="D11" s="8" t="n">
        <v>2.3</v>
      </c>
      <c r="E11" s="6" t="n">
        <v>2.3</v>
      </c>
      <c r="F11" s="6" t="n">
        <v>2.3</v>
      </c>
      <c r="G11" s="6" t="n">
        <v>0.45</v>
      </c>
      <c r="H11" s="6" t="n">
        <v>1.1</v>
      </c>
      <c r="I11" s="5" t="n">
        <v>1</v>
      </c>
      <c r="J11" s="6">
        <f>E11*F11*I11</f>
        <v/>
      </c>
      <c r="K11" s="8">
        <f>J11*G11</f>
        <v/>
      </c>
      <c r="L11" s="8">
        <f>J11*H11</f>
        <v/>
      </c>
      <c r="M11" s="8">
        <f>L11-K11</f>
        <v/>
      </c>
      <c r="N11" s="8">
        <f>L11*PARAMETROS!$B$4</f>
        <v/>
      </c>
      <c r="O11" s="8">
        <f>J11*PARAMETROS!$B$5</f>
        <v/>
      </c>
      <c r="P11" s="5" t="inlineStr">
        <is>
          <t>Conteo por etiqueta Z# en PDF S-1 Rev C; posicion: DXF (Z3-Z7) o PDF registrado (Z1, Z2, Z8)</t>
        </is>
      </c>
      <c r="Q11" s="5" t="inlineStr">
        <is>
          <t>[Dato verificado] B, D y H de la PLANILLA DE ZAPATAS (S-1 Rev C). Df [Dato no verificable] del libro V2</t>
        </is>
      </c>
      <c r="R11" s="5" t="inlineStr"/>
    </row>
    <row r="12">
      <c r="A12" s="5" t="inlineStr">
        <is>
          <t>Z2-b (C/6)</t>
        </is>
      </c>
      <c r="B12" s="5" t="inlineStr">
        <is>
          <t>(1.67, 1.26)</t>
        </is>
      </c>
      <c r="C12" s="8" t="n">
        <v>2.3</v>
      </c>
      <c r="D12" s="8" t="n">
        <v>2.3</v>
      </c>
      <c r="E12" s="6" t="n">
        <v>2.3</v>
      </c>
      <c r="F12" s="6" t="n">
        <v>2.3</v>
      </c>
      <c r="G12" s="6" t="n">
        <v>0.45</v>
      </c>
      <c r="H12" s="6" t="n">
        <v>1.1</v>
      </c>
      <c r="I12" s="5" t="n">
        <v>1</v>
      </c>
      <c r="J12" s="6">
        <f>E12*F12*I12</f>
        <v/>
      </c>
      <c r="K12" s="8">
        <f>J12*G12</f>
        <v/>
      </c>
      <c r="L12" s="8">
        <f>J12*H12</f>
        <v/>
      </c>
      <c r="M12" s="8">
        <f>L12-K12</f>
        <v/>
      </c>
      <c r="N12" s="8">
        <f>L12*PARAMETROS!$B$4</f>
        <v/>
      </c>
      <c r="O12" s="8">
        <f>J12*PARAMETROS!$B$5</f>
        <v/>
      </c>
      <c r="P12" s="5" t="inlineStr">
        <is>
          <t>Conteo por etiqueta Z# en PDF S-1 Rev C; posicion: DXF (Z3-Z7) o PDF registrado (Z1, Z2, Z8)</t>
        </is>
      </c>
      <c r="Q12" s="5" t="inlineStr">
        <is>
          <t>[Dato verificado] B, D y H de la PLANILLA DE ZAPATAS (S-1 Rev C). Df [Dato no verificable] del libro V2</t>
        </is>
      </c>
      <c r="R12" s="5" t="inlineStr"/>
    </row>
    <row r="13">
      <c r="A13" s="5" t="inlineStr">
        <is>
          <t>Z2-c (D/6)</t>
        </is>
      </c>
      <c r="B13" s="5" t="inlineStr">
        <is>
          <t>(1.67, -2.60)</t>
        </is>
      </c>
      <c r="C13" s="8" t="n">
        <v>2.3</v>
      </c>
      <c r="D13" s="8" t="n">
        <v>2.3</v>
      </c>
      <c r="E13" s="6" t="n">
        <v>2.3</v>
      </c>
      <c r="F13" s="6" t="n">
        <v>2.3</v>
      </c>
      <c r="G13" s="6" t="n">
        <v>0.45</v>
      </c>
      <c r="H13" s="6" t="n">
        <v>1.1</v>
      </c>
      <c r="I13" s="5" t="n">
        <v>1</v>
      </c>
      <c r="J13" s="6">
        <f>E13*F13*I13</f>
        <v/>
      </c>
      <c r="K13" s="8">
        <f>J13*G13</f>
        <v/>
      </c>
      <c r="L13" s="8">
        <f>J13*H13</f>
        <v/>
      </c>
      <c r="M13" s="8">
        <f>L13-K13</f>
        <v/>
      </c>
      <c r="N13" s="8">
        <f>L13*PARAMETROS!$B$4</f>
        <v/>
      </c>
      <c r="O13" s="8">
        <f>J13*PARAMETROS!$B$5</f>
        <v/>
      </c>
      <c r="P13" s="5" t="inlineStr">
        <is>
          <t>Conteo por etiqueta Z# en PDF S-1 Rev C; posicion: DXF (Z3-Z7) o PDF registrado (Z1, Z2, Z8)</t>
        </is>
      </c>
      <c r="Q13" s="5" t="inlineStr">
        <is>
          <t>[Dato verificado] B, D y H de la PLANILLA DE ZAPATAS (S-1 Rev C). Df [Dato no verificable] del libro V2</t>
        </is>
      </c>
      <c r="R13" s="5" t="inlineStr"/>
    </row>
    <row r="14">
      <c r="A14" s="5" t="inlineStr">
        <is>
          <t>Z2-d (C1 entre 5 y 6)</t>
        </is>
      </c>
      <c r="B14" s="5" t="inlineStr">
        <is>
          <t>(-2.60, -2.60)</t>
        </is>
      </c>
      <c r="C14" s="8" t="n">
        <v>2.3</v>
      </c>
      <c r="D14" s="8" t="n">
        <v>2.3</v>
      </c>
      <c r="E14" s="6" t="n">
        <v>2.3</v>
      </c>
      <c r="F14" s="6" t="n">
        <v>2.3</v>
      </c>
      <c r="G14" s="6" t="n">
        <v>0.45</v>
      </c>
      <c r="H14" s="6" t="n">
        <v>1.1</v>
      </c>
      <c r="I14" s="5" t="n">
        <v>1</v>
      </c>
      <c r="J14" s="6">
        <f>E14*F14*I14</f>
        <v/>
      </c>
      <c r="K14" s="8">
        <f>J14*G14</f>
        <v/>
      </c>
      <c r="L14" s="8">
        <f>J14*H14</f>
        <v/>
      </c>
      <c r="M14" s="8">
        <f>L14-K14</f>
        <v/>
      </c>
      <c r="N14" s="8">
        <f>L14*PARAMETROS!$B$4</f>
        <v/>
      </c>
      <c r="O14" s="8">
        <f>J14*PARAMETROS!$B$5</f>
        <v/>
      </c>
      <c r="P14" s="5" t="inlineStr">
        <is>
          <t>Conteo por etiqueta Z# en PDF S-1 Rev C; posicion: DXF (Z3-Z7) o PDF registrado (Z1, Z2, Z8)</t>
        </is>
      </c>
      <c r="Q14" s="5" t="inlineStr">
        <is>
          <t>[Dato verificado] B, D y H de la PLANILLA DE ZAPATAS (S-1 Rev C). Df [Dato no verificable] del libro V2</t>
        </is>
      </c>
      <c r="R14" s="5" t="inlineStr"/>
    </row>
    <row r="15">
      <c r="A15" s="5" t="inlineStr">
        <is>
          <t>Z1-a (NE, C5A)</t>
        </is>
      </c>
      <c r="B15" s="5" t="inlineStr">
        <is>
          <t>(5.58, 5.75)</t>
        </is>
      </c>
      <c r="C15" s="8" t="n">
        <v>2</v>
      </c>
      <c r="D15" s="8" t="n">
        <v>2</v>
      </c>
      <c r="E15" s="6" t="n">
        <v>2</v>
      </c>
      <c r="F15" s="6" t="n">
        <v>2</v>
      </c>
      <c r="G15" s="6" t="n">
        <v>0.45</v>
      </c>
      <c r="H15" s="6" t="n">
        <v>1.1</v>
      </c>
      <c r="I15" s="5" t="n">
        <v>1</v>
      </c>
      <c r="J15" s="6">
        <f>E15*F15*I15</f>
        <v/>
      </c>
      <c r="K15" s="8">
        <f>J15*G15</f>
        <v/>
      </c>
      <c r="L15" s="8">
        <f>J15*H15</f>
        <v/>
      </c>
      <c r="M15" s="8">
        <f>L15-K15</f>
        <v/>
      </c>
      <c r="N15" s="8">
        <f>L15*PARAMETROS!$B$4</f>
        <v/>
      </c>
      <c r="O15" s="8">
        <f>J15*PARAMETROS!$B$5</f>
        <v/>
      </c>
      <c r="P15" s="5" t="inlineStr">
        <is>
          <t>Conteo por etiqueta Z# en PDF S-1 Rev C; posicion: DXF (Z3-Z7) o PDF registrado (Z1, Z2, Z8)</t>
        </is>
      </c>
      <c r="Q15" s="5" t="inlineStr">
        <is>
          <t>[Dato verificado] B, D y H de la PLANILLA DE ZAPATAS (S-1 Rev C). Df [Dato no verificable] del libro V2</t>
        </is>
      </c>
      <c r="R15" s="5" t="inlineStr"/>
    </row>
    <row r="16">
      <c r="A16" s="5" t="inlineStr">
        <is>
          <t>Z8-a (E, C5A)</t>
        </is>
      </c>
      <c r="B16" s="5" t="inlineStr">
        <is>
          <t>(10.28, 3.84)</t>
        </is>
      </c>
      <c r="C16" s="8" t="n">
        <v>2.5</v>
      </c>
      <c r="D16" s="8" t="n">
        <v>2.5</v>
      </c>
      <c r="E16" s="6" t="n">
        <v>2.5</v>
      </c>
      <c r="F16" s="6" t="n">
        <v>2.5</v>
      </c>
      <c r="G16" s="6" t="n">
        <v>0.45</v>
      </c>
      <c r="H16" s="6" t="n">
        <v>1.1</v>
      </c>
      <c r="I16" s="5" t="n">
        <v>1</v>
      </c>
      <c r="J16" s="6">
        <f>E16*F16*I16</f>
        <v/>
      </c>
      <c r="K16" s="8">
        <f>J16*G16</f>
        <v/>
      </c>
      <c r="L16" s="8">
        <f>J16*H16</f>
        <v/>
      </c>
      <c r="M16" s="8">
        <f>L16-K16</f>
        <v/>
      </c>
      <c r="N16" s="8">
        <f>L16*PARAMETROS!$B$4</f>
        <v/>
      </c>
      <c r="O16" s="8">
        <f>J16*PARAMETROS!$B$5</f>
        <v/>
      </c>
      <c r="P16" s="5" t="inlineStr">
        <is>
          <t>Conteo por etiqueta Z# en PDF S-1 Rev C; posicion: DXF (Z3-Z7) o PDF registrado (Z1, Z2, Z8)</t>
        </is>
      </c>
      <c r="Q16" s="5" t="inlineStr">
        <is>
          <t>[Dato verificado] B, D y H de la PLANILLA DE ZAPATAS (S-1 Rev C). Df [Dato no verificable] del libro V2</t>
        </is>
      </c>
      <c r="R16" s="5" t="inlineStr"/>
    </row>
    <row r="17">
      <c r="A17" s="5" t="inlineStr">
        <is>
          <t>Z8-b (E, M33)</t>
        </is>
      </c>
      <c r="B17" s="5" t="inlineStr">
        <is>
          <t>(6.66, -4.36)</t>
        </is>
      </c>
      <c r="C17" s="8" t="n">
        <v>2.5</v>
      </c>
      <c r="D17" s="8" t="n">
        <v>2.5</v>
      </c>
      <c r="E17" s="6" t="n">
        <v>2.5</v>
      </c>
      <c r="F17" s="6" t="n">
        <v>2.5</v>
      </c>
      <c r="G17" s="6" t="n">
        <v>0.45</v>
      </c>
      <c r="H17" s="6" t="n">
        <v>1.1</v>
      </c>
      <c r="I17" s="5" t="n">
        <v>1</v>
      </c>
      <c r="J17" s="6">
        <f>E17*F17*I17</f>
        <v/>
      </c>
      <c r="K17" s="8">
        <f>J17*G17</f>
        <v/>
      </c>
      <c r="L17" s="8">
        <f>J17*H17</f>
        <v/>
      </c>
      <c r="M17" s="8">
        <f>L17-K17</f>
        <v/>
      </c>
      <c r="N17" s="8">
        <f>L17*PARAMETROS!$B$4</f>
        <v/>
      </c>
      <c r="O17" s="8">
        <f>J17*PARAMETROS!$B$5</f>
        <v/>
      </c>
      <c r="P17" s="5" t="inlineStr">
        <is>
          <t>Conteo por etiqueta Z# en PDF S-1 Rev C; posicion: DXF (Z3-Z7) o PDF registrado (Z1, Z2, Z8)</t>
        </is>
      </c>
      <c r="Q17" s="5" t="inlineStr">
        <is>
          <t>[Dato verificado] B, D y H de la PLANILLA DE ZAPATAS (S-1 Rev C). Df [Dato no verificable] del libro V2</t>
        </is>
      </c>
      <c r="R17" s="5" t="inlineStr"/>
    </row>
    <row r="18">
      <c r="A18" s="5" t="inlineStr">
        <is>
          <t>Z8-c (C2)</t>
        </is>
      </c>
      <c r="B18" s="5" t="inlineStr">
        <is>
          <t>(-13.48, -6.23)</t>
        </is>
      </c>
      <c r="C18" s="8" t="n">
        <v>2.5</v>
      </c>
      <c r="D18" s="8" t="n">
        <v>2.5</v>
      </c>
      <c r="E18" s="6" t="n">
        <v>2.5</v>
      </c>
      <c r="F18" s="6" t="n">
        <v>2.5</v>
      </c>
      <c r="G18" s="6" t="n">
        <v>0.45</v>
      </c>
      <c r="H18" s="6" t="n">
        <v>1.1</v>
      </c>
      <c r="I18" s="5" t="n">
        <v>1</v>
      </c>
      <c r="J18" s="6">
        <f>E18*F18*I18</f>
        <v/>
      </c>
      <c r="K18" s="8">
        <f>J18*G18</f>
        <v/>
      </c>
      <c r="L18" s="8">
        <f>J18*H18</f>
        <v/>
      </c>
      <c r="M18" s="8">
        <f>L18-K18</f>
        <v/>
      </c>
      <c r="N18" s="8">
        <f>L18*PARAMETROS!$B$4</f>
        <v/>
      </c>
      <c r="O18" s="8">
        <f>J18*PARAMETROS!$B$5</f>
        <v/>
      </c>
      <c r="P18" s="5" t="inlineStr">
        <is>
          <t>Conteo por etiqueta Z# en PDF S-1 Rev C; posicion: DXF (Z3-Z7) o PDF registrado (Z1, Z2, Z8)</t>
        </is>
      </c>
      <c r="Q18" s="5" t="inlineStr">
        <is>
          <t>[Dato verificado] B, D y H de la PLANILLA DE ZAPATAS (S-1 Rev C). Df [Dato no verificable] del libro V2</t>
        </is>
      </c>
      <c r="R18" s="5" t="inlineStr"/>
    </row>
    <row r="19">
      <c r="A19" s="5" t="inlineStr">
        <is>
          <t>Z1-b (SO, C4)</t>
        </is>
      </c>
      <c r="B19" s="5" t="inlineStr">
        <is>
          <t>(-26.89, -8.36)</t>
        </is>
      </c>
      <c r="C19" s="8" t="n">
        <v>2</v>
      </c>
      <c r="D19" s="8" t="n">
        <v>2</v>
      </c>
      <c r="E19" s="6" t="n">
        <v>2</v>
      </c>
      <c r="F19" s="6" t="n">
        <v>2</v>
      </c>
      <c r="G19" s="6" t="n">
        <v>0.45</v>
      </c>
      <c r="H19" s="6" t="n">
        <v>1.1</v>
      </c>
      <c r="I19" s="5" t="n">
        <v>1</v>
      </c>
      <c r="J19" s="6">
        <f>E19*F19*I19</f>
        <v/>
      </c>
      <c r="K19" s="8">
        <f>J19*G19</f>
        <v/>
      </c>
      <c r="L19" s="8">
        <f>J19*H19</f>
        <v/>
      </c>
      <c r="M19" s="8">
        <f>L19-K19</f>
        <v/>
      </c>
      <c r="N19" s="8">
        <f>L19*PARAMETROS!$B$4</f>
        <v/>
      </c>
      <c r="O19" s="8">
        <f>J19*PARAMETROS!$B$5</f>
        <v/>
      </c>
      <c r="P19" s="5" t="inlineStr">
        <is>
          <t>Conteo por etiqueta Z# en PDF S-1 Rev C; posicion: DXF (Z3-Z7) o PDF registrado (Z1, Z2, Z8)</t>
        </is>
      </c>
      <c r="Q19" s="5" t="inlineStr">
        <is>
          <t>[Dato verificado] B, D y H de la PLANILLA DE ZAPATAS (S-1 Rev C). Df [Dato no verificable] del libro V2</t>
        </is>
      </c>
      <c r="R19" s="5" t="inlineStr"/>
    </row>
    <row r="20">
      <c r="A20" s="1" t="inlineStr">
        <is>
          <t>TOTAL ZAPATAS</t>
        </is>
      </c>
      <c r="I20" s="1">
        <f>SUM(I4:I19)</f>
        <v/>
      </c>
      <c r="J20" s="7">
        <f>SUM(J4:J19)</f>
        <v/>
      </c>
      <c r="K20" s="7">
        <f>SUM(K4:K19)</f>
        <v/>
      </c>
      <c r="L20" s="7">
        <f>SUM(L4:L19)</f>
        <v/>
      </c>
      <c r="M20" s="7">
        <f>SUM(M4:M19)</f>
        <v/>
      </c>
      <c r="N20" s="7">
        <f>SUM(N4:N19)</f>
        <v/>
      </c>
      <c r="O20" s="7">
        <f>SUM(O4:O19)</f>
        <v/>
      </c>
    </row>
    <row r="23">
      <c r="A23" s="1" t="inlineStr">
        <is>
          <t>RESUMEN POR TIPO</t>
        </is>
      </c>
    </row>
    <row r="24">
      <c r="A24" s="4" t="inlineStr">
        <is>
          <t>Tipo</t>
        </is>
      </c>
      <c r="B24" s="4" t="inlineStr">
        <is>
          <t>Dimension calc. (m)</t>
        </is>
      </c>
      <c r="C24" s="4" t="inlineStr">
        <is>
          <t>Cantidad</t>
        </is>
      </c>
      <c r="D24" s="4" t="inlineStr">
        <is>
          <t>Concreto (m3)</t>
        </is>
      </c>
      <c r="E24" s="4" t="inlineStr">
        <is>
          <t>Excavacion (m3)</t>
        </is>
      </c>
    </row>
    <row r="25">
      <c r="A25" s="5" t="inlineStr">
        <is>
          <t>Z1</t>
        </is>
      </c>
      <c r="B25" s="5" t="inlineStr">
        <is>
          <t>2.00 x 2.00 x 0.45</t>
        </is>
      </c>
      <c r="C25" s="5">
        <f>COUNTIF($A$4:$A$19,"Z1*")</f>
        <v/>
      </c>
      <c r="D25" s="8">
        <f>SUMIF($A$4:$A$19,"Z1*",$K$4:$K$19)</f>
        <v/>
      </c>
      <c r="E25" s="8">
        <f>SUMIF($A$4:$A$19,"Z1*",$L$4:$L$19)</f>
        <v/>
      </c>
    </row>
    <row r="26">
      <c r="A26" s="5" t="inlineStr">
        <is>
          <t>Z2</t>
        </is>
      </c>
      <c r="B26" s="5" t="inlineStr">
        <is>
          <t>2.30 x 2.30 x 0.45</t>
        </is>
      </c>
      <c r="C26" s="5">
        <f>COUNTIF($A$4:$A$19,"Z2*")</f>
        <v/>
      </c>
      <c r="D26" s="8">
        <f>SUMIF($A$4:$A$19,"Z2*",$K$4:$K$19)</f>
        <v/>
      </c>
      <c r="E26" s="8">
        <f>SUMIF($A$4:$A$19,"Z2*",$L$4:$L$19)</f>
        <v/>
      </c>
    </row>
    <row r="27">
      <c r="A27" s="5" t="inlineStr">
        <is>
          <t>Z3</t>
        </is>
      </c>
      <c r="B27" s="5" t="inlineStr">
        <is>
          <t>3.30 x 3.30 x 0.55</t>
        </is>
      </c>
      <c r="C27" s="5">
        <f>COUNTIF($A$4:$A$19,"Z3*")</f>
        <v/>
      </c>
      <c r="D27" s="8">
        <f>SUMIF($A$4:$A$19,"Z3*",$K$4:$K$19)</f>
        <v/>
      </c>
      <c r="E27" s="8">
        <f>SUMIF($A$4:$A$19,"Z3*",$L$4:$L$19)</f>
        <v/>
      </c>
    </row>
    <row r="28">
      <c r="A28" s="5" t="inlineStr">
        <is>
          <t>Z4</t>
        </is>
      </c>
      <c r="B28" s="5" t="inlineStr">
        <is>
          <t>2.50 x 2.50 x 0.50</t>
        </is>
      </c>
      <c r="C28" s="5">
        <f>COUNTIF($A$4:$A$19,"Z4*")</f>
        <v/>
      </c>
      <c r="D28" s="8">
        <f>SUMIF($A$4:$A$19,"Z4*",$K$4:$K$19)</f>
        <v/>
      </c>
      <c r="E28" s="8">
        <f>SUMIF($A$4:$A$19,"Z4*",$L$4:$L$19)</f>
        <v/>
      </c>
    </row>
    <row r="29">
      <c r="A29" s="5" t="inlineStr">
        <is>
          <t>Z5</t>
        </is>
      </c>
      <c r="B29" s="5" t="inlineStr">
        <is>
          <t>3.90 x 7.90 x 0.45</t>
        </is>
      </c>
      <c r="C29" s="5">
        <f>COUNTIF($A$4:$A$19,"Z5*")</f>
        <v/>
      </c>
      <c r="D29" s="8">
        <f>SUMIF($A$4:$A$19,"Z5*",$K$4:$K$19)</f>
        <v/>
      </c>
      <c r="E29" s="8">
        <f>SUMIF($A$4:$A$19,"Z5*",$L$4:$L$19)</f>
        <v/>
      </c>
    </row>
    <row r="30">
      <c r="A30" s="5" t="inlineStr">
        <is>
          <t>Z6</t>
        </is>
      </c>
      <c r="B30" s="5" t="inlineStr">
        <is>
          <t>3.75 x 3.75 x 0.50</t>
        </is>
      </c>
      <c r="C30" s="5">
        <f>COUNTIF($A$4:$A$19,"Z6*")</f>
        <v/>
      </c>
      <c r="D30" s="8">
        <f>SUMIF($A$4:$A$19,"Z6*",$K$4:$K$19)</f>
        <v/>
      </c>
      <c r="E30" s="8">
        <f>SUMIF($A$4:$A$19,"Z6*",$L$4:$L$19)</f>
        <v/>
      </c>
    </row>
    <row r="31">
      <c r="A31" s="5" t="inlineStr">
        <is>
          <t>Z7</t>
        </is>
      </c>
      <c r="B31" s="5" t="inlineStr">
        <is>
          <t>3.30 x 5.75 x 0.55</t>
        </is>
      </c>
      <c r="C31" s="5">
        <f>COUNTIF($A$4:$A$19,"Z7*")</f>
        <v/>
      </c>
      <c r="D31" s="8">
        <f>SUMIF($A$4:$A$19,"Z7*",$K$4:$K$19)</f>
        <v/>
      </c>
      <c r="E31" s="8">
        <f>SUMIF($A$4:$A$19,"Z7*",$L$4:$L$19)</f>
        <v/>
      </c>
    </row>
    <row r="32">
      <c r="A32" s="5" t="inlineStr">
        <is>
          <t>Z8</t>
        </is>
      </c>
      <c r="B32" s="5" t="inlineStr">
        <is>
          <t>2.50 x 2.50 x 0.45</t>
        </is>
      </c>
      <c r="C32" s="5">
        <f>COUNTIF($A$4:$A$19,"Z8*")</f>
        <v/>
      </c>
      <c r="D32" s="8">
        <f>SUMIF($A$4:$A$19,"Z8*",$K$4:$K$19)</f>
        <v/>
      </c>
      <c r="E32" s="8">
        <f>SUMIF($A$4:$A$19,"Z8*",$L$4:$L$19)</f>
        <v/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40" customWidth="1" min="17" max="17"/>
    <col width="30" customWidth="1" min="18" max="18"/>
    <col width="60" customWidth="1" min="19" max="19"/>
  </cols>
  <sheetData>
    <row r="1">
      <c r="A1" s="1" t="inlineStr">
        <is>
          <t>CIMIENTOS CORRIDOS Y SOLERA DE AMARRE - SOTANO (plano S-1)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3">
      <c r="A3" s="4" t="inlineStr">
        <is>
          <t>Elemento</t>
        </is>
      </c>
      <c r="B3" s="4" t="inlineStr">
        <is>
          <t>Ancho medido en planta (m)</t>
        </is>
      </c>
      <c r="C3" s="4" t="inlineStr">
        <is>
          <t>Area bruta planta (m2)</t>
        </is>
      </c>
      <c r="D3" s="4" t="inlineStr">
        <is>
          <t>Area dentro de zapatas (m2)</t>
        </is>
      </c>
      <c r="E3" s="4" t="inlineStr">
        <is>
          <t>Area neta (m2)</t>
        </is>
      </c>
      <c r="F3" s="4" t="inlineStr">
        <is>
          <t>Longitud bruta equiv. (ml)</t>
        </is>
      </c>
      <c r="G3" s="4" t="inlineStr">
        <is>
          <t>Longitud neta equiv. (ml)</t>
        </is>
      </c>
      <c r="H3" s="4" t="inlineStr">
        <is>
          <t>Ancho calc. (m)</t>
        </is>
      </c>
      <c r="I3" s="4" t="inlineStr">
        <is>
          <t>Peralte (m)</t>
        </is>
      </c>
      <c r="J3" s="4" t="inlineStr">
        <is>
          <t>Prof. Df (m)</t>
        </is>
      </c>
      <c r="K3" s="4" t="inlineStr">
        <is>
          <t>Long. para concreto (ml)</t>
        </is>
      </c>
      <c r="L3" s="4" t="inlineStr">
        <is>
          <t>Concreto (m3)</t>
        </is>
      </c>
      <c r="M3" s="4" t="inlineStr">
        <is>
          <t>Excavacion (m3)</t>
        </is>
      </c>
      <c r="N3" s="4" t="inlineStr">
        <is>
          <t>Relleno (m3)</t>
        </is>
      </c>
      <c r="O3" s="4" t="inlineStr">
        <is>
          <t>Extraccion (m3)</t>
        </is>
      </c>
      <c r="P3" s="4" t="inlineStr">
        <is>
          <t>Concreto limpieza (m3)</t>
        </is>
      </c>
      <c r="Q3" s="4" t="inlineStr">
        <is>
          <t>Metodo</t>
        </is>
      </c>
      <c r="R3" s="4" t="inlineStr">
        <is>
          <t>Fuente peralte y Df</t>
        </is>
      </c>
      <c r="S3" s="4" t="inlineStr">
        <is>
          <t>Observaciones</t>
        </is>
      </c>
    </row>
    <row r="4">
      <c r="A4" s="5" t="inlineStr">
        <is>
          <t>Cimiento corrido CC1</t>
        </is>
      </c>
      <c r="B4" s="6" t="n">
        <v>0.7</v>
      </c>
      <c r="C4" s="8" t="n">
        <v>39.682</v>
      </c>
      <c r="D4" s="8" t="n">
        <v>11.971</v>
      </c>
      <c r="E4" s="8">
        <f>C4-D4</f>
        <v/>
      </c>
      <c r="F4" s="6">
        <f>C4/B4</f>
        <v/>
      </c>
      <c r="G4" s="6">
        <f>E4/B4</f>
        <v/>
      </c>
      <c r="H4" s="6" t="n">
        <v>0.7</v>
      </c>
      <c r="I4" s="6" t="n">
        <v>0.25</v>
      </c>
      <c r="J4" s="6" t="n">
        <v>1.05</v>
      </c>
      <c r="K4" s="6">
        <f>G4</f>
        <v/>
      </c>
      <c r="L4" s="8">
        <f>K4*H4*I4</f>
        <v/>
      </c>
      <c r="M4" s="8">
        <f>G4*H4*J4</f>
        <v/>
      </c>
      <c r="N4" s="8">
        <f>M4-G4*H4*MIN(I4,J4)</f>
        <v/>
      </c>
      <c r="O4" s="8">
        <f>M4*PARAMETROS!$B$4</f>
        <v/>
      </c>
      <c r="P4" s="8">
        <f>G4*H4*PARAMETROS!$B$5</f>
        <v/>
      </c>
      <c r="Q4" s="5" t="inlineStr">
        <is>
          <t>Pares de bordes paralelos en capa (CIMIENTO 004 / S-solera de amarre 003) -&gt; franjas; area/ancho = longitud equivalente; descuento = interseccion con contornos de zapata</t>
        </is>
      </c>
      <c r="R4" s="5" t="inlineStr">
        <is>
          <t>[Dato no verificable] peralte y Df del libro V2; ancho SI verificado en planta</t>
        </is>
      </c>
      <c r="S4" s="5" t="inlineStr">
        <is>
          <t>Version V2: 32.73 ml fuera de zapata; libro a mano 55.78 ml (bruto). Coincide con el bruto medido 56.69 ml.</t>
        </is>
      </c>
    </row>
    <row r="5">
      <c r="A5" s="5" t="inlineStr">
        <is>
          <t>Cimiento corrido MC1 (muro de contencion)</t>
        </is>
      </c>
      <c r="B5" s="6" t="n">
        <v>1</v>
      </c>
      <c r="C5" s="8" t="n">
        <v>115.021</v>
      </c>
      <c r="D5" s="8" t="n">
        <v>34.578</v>
      </c>
      <c r="E5" s="8">
        <f>C5-D5</f>
        <v/>
      </c>
      <c r="F5" s="6">
        <f>C5/B5</f>
        <v/>
      </c>
      <c r="G5" s="6">
        <f>E5/B5</f>
        <v/>
      </c>
      <c r="H5" s="6" t="n">
        <v>1</v>
      </c>
      <c r="I5" s="6" t="n">
        <v>0.3</v>
      </c>
      <c r="J5" s="6" t="n">
        <v>1.3</v>
      </c>
      <c r="K5" s="6">
        <f>G5</f>
        <v/>
      </c>
      <c r="L5" s="8">
        <f>K5*H5*I5</f>
        <v/>
      </c>
      <c r="M5" s="8">
        <f>G5*H5*J5</f>
        <v/>
      </c>
      <c r="N5" s="8">
        <f>M5-G5*H5*MIN(I5,J5)</f>
        <v/>
      </c>
      <c r="O5" s="8">
        <f>M5*PARAMETROS!$B$4</f>
        <v/>
      </c>
      <c r="P5" s="8">
        <f>G5*H5*PARAMETROS!$B$5</f>
        <v/>
      </c>
      <c r="Q5" s="5" t="inlineStr">
        <is>
          <t>Pares de bordes paralelos en capa (CIMIENTO 004 / S-solera de amarre 003) -&gt; franjas; area/ancho = longitud equivalente; descuento = interseccion con contornos de zapata</t>
        </is>
      </c>
      <c r="R5" s="5" t="inlineStr">
        <is>
          <t>[Dato no verificable] peralte y Df del libro V2; ancho SI verificado en planta</t>
        </is>
      </c>
      <c r="S5" s="5" t="inlineStr">
        <is>
          <t>Version V2: 81.44 ml; a mano 123.41 ml. Bruto medido 115.02 ml (eje muro contencion V2 = 114.83 ml).</t>
        </is>
      </c>
    </row>
    <row r="6">
      <c r="A6" s="5" t="inlineStr">
        <is>
          <t>Franja 0.82 m etiquetada MC1 (x -15.36 a -11.79, y 6.21 a 7.04)</t>
        </is>
      </c>
      <c r="B6" s="6" t="n">
        <v>0.82</v>
      </c>
      <c r="C6" s="8" t="n">
        <v>3.401</v>
      </c>
      <c r="D6" s="8" t="n">
        <v>0.462</v>
      </c>
      <c r="E6" s="8">
        <f>C6-D6</f>
        <v/>
      </c>
      <c r="F6" s="6">
        <f>C6/B6</f>
        <v/>
      </c>
      <c r="G6" s="6">
        <f>E6/B6</f>
        <v/>
      </c>
      <c r="H6" s="6" t="n">
        <v>0.82</v>
      </c>
      <c r="I6" s="6" t="n">
        <v>0.3</v>
      </c>
      <c r="J6" s="6" t="n">
        <v>1.3</v>
      </c>
      <c r="K6" s="6">
        <f>G6</f>
        <v/>
      </c>
      <c r="L6" s="8">
        <f>K6*H6*I6</f>
        <v/>
      </c>
      <c r="M6" s="8">
        <f>G6*H6*J6</f>
        <v/>
      </c>
      <c r="N6" s="8">
        <f>M6-G6*H6*MIN(I6,J6)</f>
        <v/>
      </c>
      <c r="O6" s="8">
        <f>M6*PARAMETROS!$B$4</f>
        <v/>
      </c>
      <c r="P6" s="8">
        <f>G6*H6*PARAMETROS!$B$5</f>
        <v/>
      </c>
      <c r="Q6" s="5" t="inlineStr">
        <is>
          <t>Pares de bordes paralelos en capa (CIMIENTO 004 / S-solera de amarre 003) -&gt; franjas; area/ancho = longitud equivalente; descuento = interseccion con contornos de zapata</t>
        </is>
      </c>
      <c r="R6" s="5" t="inlineStr">
        <is>
          <t>[Dato no verificable] peralte y Df del libro V2; ancho SI verificado en planta</t>
        </is>
      </c>
      <c r="S6" s="5" t="inlineStr">
        <is>
          <t>Rectangulo cerrado de 3.57x0.82 m en capa CIMIENTO entre CC1 y MC1. No coincide con ancho tipo. RFI-03. Se cuantifica con su ancho dibujado [Supuesto: peralte y Df de MC1]</t>
        </is>
      </c>
    </row>
    <row r="7">
      <c r="A7" s="5" t="inlineStr">
        <is>
          <t>Solera de amarre SA</t>
        </is>
      </c>
      <c r="B7" s="6" t="n">
        <v>0.3</v>
      </c>
      <c r="C7" s="8" t="n">
        <v>18.132</v>
      </c>
      <c r="D7" s="8" t="n">
        <v>10.207</v>
      </c>
      <c r="E7" s="8">
        <f>C7-D7</f>
        <v/>
      </c>
      <c r="F7" s="6">
        <f>C7/B7</f>
        <v/>
      </c>
      <c r="G7" s="6">
        <f>E7/B7</f>
        <v/>
      </c>
      <c r="H7" s="6" t="n">
        <v>0.3</v>
      </c>
      <c r="I7" s="6" t="n">
        <v>0.3</v>
      </c>
      <c r="J7" s="6" t="n">
        <v>0.55</v>
      </c>
      <c r="K7" s="6">
        <f>F7</f>
        <v/>
      </c>
      <c r="L7" s="8">
        <f>K7*H7*I7</f>
        <v/>
      </c>
      <c r="M7" s="8">
        <f>G7*H7*J7</f>
        <v/>
      </c>
      <c r="N7" s="8">
        <f>M7-G7*H7*MIN(I7,J7)</f>
        <v/>
      </c>
      <c r="O7" s="8">
        <f>M7*PARAMETROS!$B$4</f>
        <v/>
      </c>
      <c r="P7" s="8">
        <f>G7*H7*PARAMETROS!$B$5</f>
        <v/>
      </c>
      <c r="Q7" s="5" t="inlineStr">
        <is>
          <t>Pares de bordes paralelos en capa (CIMIENTO 004 / S-solera de amarre 003) -&gt; franjas; area/ancho = longitud equivalente; descuento = interseccion con contornos de zapata</t>
        </is>
      </c>
      <c r="R7" s="5" t="inlineStr">
        <is>
          <t>[Dato no verificable] peralte y Df del libro V2; ancho SI verificado en planta</t>
        </is>
      </c>
      <c r="S7" s="5" t="inlineStr">
        <is>
          <t>Concreto con longitud bruta (la SA pasa sobre la zapata, desplante 0.55 &lt; cara superior de zapata). Excavacion solo fuera de zapata. V2: 59.68 ml</t>
        </is>
      </c>
    </row>
    <row r="8">
      <c r="A8" s="1" t="inlineStr">
        <is>
          <t>TOTAL</t>
        </is>
      </c>
      <c r="L8" s="7">
        <f>SUM(L4:L7)</f>
        <v/>
      </c>
      <c r="M8" s="7">
        <f>SUM(M4:M7)</f>
        <v/>
      </c>
      <c r="N8" s="7">
        <f>SUM(N4:N7)</f>
        <v/>
      </c>
      <c r="O8" s="7">
        <f>SUM(O4:O7)</f>
        <v/>
      </c>
      <c r="P8" s="7">
        <f>SUM(P4:P7)</f>
        <v/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00" customWidth="1" min="3" max="3"/>
    <col width="40" customWidth="1" min="4" max="4"/>
  </cols>
  <sheetData>
    <row r="1">
      <c r="A1" s="4" t="inlineStr">
        <is>
          <t>No.</t>
        </is>
      </c>
      <c r="B1" s="4" t="inlineStr">
        <is>
          <t>Tema</t>
        </is>
      </c>
      <c r="C1" s="4" t="inlineStr">
        <is>
          <t>Descripcion</t>
        </is>
      </c>
      <c r="D1" s="4" t="inlineStr">
        <is>
          <t>Impacto</t>
        </is>
      </c>
    </row>
    <row r="2">
      <c r="A2" s="5" t="inlineStr">
        <is>
          <t>OBS-01</t>
        </is>
      </c>
      <c r="B2" s="5" t="inlineStr">
        <is>
          <t>Revision vigente</t>
        </is>
      </c>
      <c r="C2" s="5" t="inlineStr">
        <is>
          <t>El DXF S-1 del paquete NO coincide con el PDF S-1 Rev C (18-ago-2026) en zapatas: el DXF tiene Z2 de 3.90, una 'Z8' de 6.55x7.09 y Z1 de 2.20 que el PDF no tiene. Muros, cimientos corridos, SA y Z3-Z7 si coinciden (registro PDF-DXF). Se cuantifica con el PDF Rev C y su planilla.</t>
        </is>
      </c>
      <c r="D2" s="5" t="inlineStr">
        <is>
          <t>Zapatas: 16 und (antes 14)</t>
        </is>
      </c>
    </row>
    <row r="3">
      <c r="A3" s="5" t="inlineStr">
        <is>
          <t>OBS-02</t>
        </is>
      </c>
      <c r="B3" s="5" t="inlineStr">
        <is>
          <t>Planilla de zapatas</t>
        </is>
      </c>
      <c r="C3" s="5" t="inlineStr">
        <is>
          <t>Z1 2.00x2.00x0.45 (2), Z2 2.30x2.30x0.45 (4), Z3 3.30x3.30x0.55 (3), Z4 2.50x2.50x0.50, Z5 3.90x7.90x0.45, Z6 3.75x3.75x0.50, Z7 3.30x5.75x0.55, Z8 2.50x2.50x0.45 (3). Coincide con el libro a mano.</t>
        </is>
      </c>
      <c r="D3" s="5" t="inlineStr"/>
    </row>
    <row r="4">
      <c r="A4" s="5" t="inlineStr">
        <is>
          <t>OBS-03</t>
        </is>
      </c>
      <c r="B4" s="5" t="inlineStr">
        <is>
          <t>Posicion de Z1, Z2 y Z8</t>
        </is>
      </c>
      <c r="C4" s="5" t="inlineStr">
        <is>
          <t>Ubicadas sobre el PDF registrado (+/-0.15 m). Solo afecta el descuento de cimiento dentro de zapata.</t>
        </is>
      </c>
      <c r="D4" s="5" t="inlineStr">
        <is>
          <t>+/-1 ml de CC1/MC1</t>
        </is>
      </c>
    </row>
    <row r="5">
      <c r="A5" s="5" t="inlineStr">
        <is>
          <t>RFI-03</t>
        </is>
      </c>
      <c r="B5" s="5" t="inlineStr">
        <is>
          <t>Franja 0.82 m etiquetada MC1</t>
        </is>
      </c>
      <c r="C5" s="5" t="inlineStr">
        <is>
          <t>Rectangulo cerrado 3.57x0.82 m entre CC1 y MC1 en capa CIMIENTO 004.</t>
        </is>
      </c>
      <c r="D5" s="5" t="inlineStr">
        <is>
          <t>~1 m3</t>
        </is>
      </c>
    </row>
    <row r="6">
      <c r="A6" s="5" t="inlineStr">
        <is>
          <t>OBS-04</t>
        </is>
      </c>
      <c r="B6" s="5" t="inlineStr">
        <is>
          <t>Traslape cimiento-zapata</t>
        </is>
      </c>
      <c r="C6" s="5" t="inlineStr">
        <is>
          <t>Se descuenta de CC1/MC1 el area en planta dentro de zapatas. Valido si comparten nivel de desplante.</t>
        </is>
      </c>
      <c r="D6" s="5" t="inlineStr"/>
    </row>
    <row r="7">
      <c r="A7" s="5" t="inlineStr">
        <is>
          <t>OBS-05</t>
        </is>
      </c>
      <c r="B7" s="5" t="inlineStr">
        <is>
          <t>Cimiento perimetral Nivel 1 (0.40x0.20)</t>
        </is>
      </c>
      <c r="C7" s="5" t="inlineStr">
        <is>
          <t>V2 incluye 52.69 ml (detalle 1 de S-10). S-10 no esta en el paquete: excluido.</t>
        </is>
      </c>
      <c r="D7" s="5" t="inlineStr">
        <is>
          <t>Excluido</t>
        </is>
      </c>
    </row>
    <row r="8">
      <c r="A8" s="5" t="inlineStr">
        <is>
          <t>OBS-06</t>
        </is>
      </c>
      <c r="B8" s="5" t="inlineStr">
        <is>
          <t>Profundidades de desplante</t>
        </is>
      </c>
      <c r="C8" s="5" t="inlineStr">
        <is>
          <t>Df tomadas del libro V2 (1.10/1.15/1.20 zapatas, 1.05 CC1, 1.30 MC1, 0.55 SA): los detalles de S-1 dan peraltes pero no Df desde terreno natural.</t>
        </is>
      </c>
      <c r="D8" s="5" t="inlineStr">
        <is>
          <t>Excavacion y relleno</t>
        </is>
      </c>
    </row>
    <row r="9">
      <c r="A9" s="5" t="inlineStr">
        <is>
          <t>OBS-07</t>
        </is>
      </c>
      <c r="B9" s="5" t="inlineStr">
        <is>
          <t>Acero de refuerzo</t>
        </is>
      </c>
      <c r="C9" s="5" t="inlineStr">
        <is>
          <t>Planilla con refuerzo disponible; no cuantificado en esta entrega.</t>
        </is>
      </c>
      <c r="D9" s="5" t="inlineStr">
        <is>
          <t>Pendiente</t>
        </is>
      </c>
    </row>
    <row r="10">
      <c r="A10" s="5" t="inlineStr">
        <is>
          <t>OBS-08</t>
        </is>
      </c>
      <c r="B10" s="5" t="inlineStr">
        <is>
          <t>Libro V2 - errores</t>
        </is>
      </c>
      <c r="C10" s="5" t="inlineStr">
        <is>
          <t>Cimientos!M25:M28 calculan volumen y M19:M24 area; fila 38 SUM(#REF!).</t>
        </is>
      </c>
      <c r="D10" s="5" t="inlineStr">
        <is>
          <t>Corregir en 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2026-10-12T22:23:13Z</dcterms:created>
  <dcterms:modified xmlns:dcterms="http://purl.org/dc/terms/" xmlns:xsi="http://www.w3.org/2001/XMLSchema-instance" xsi:type="dcterms:W3CDTF">2026-10-12T22:23:13Z</dcterms:modified>
</cp:coreProperties>
</file>