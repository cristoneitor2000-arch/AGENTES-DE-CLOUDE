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RESUMEN" sheetId="2" state="visible" r:id="rId2"/>
    <sheet name="REVISION" sheetId="3" state="visible" r:id="rId3"/>
    <sheet name="PARAMETR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name val="Arial"/>
      <b val="1"/>
      <color rgb="00000000"/>
      <sz val="10"/>
    </font>
    <font>
      <name val="Arial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2" fontId="2" fillId="0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164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44" customWidth="1" min="3" max="3"/>
    <col width="12" customWidth="1" min="4" max="4"/>
    <col width="14" customWidth="1" min="5" max="5"/>
    <col width="12" customWidth="1" min="6" max="6"/>
    <col width="12" customWidth="1" min="7" max="7"/>
    <col width="12" customWidth="1" min="8" max="8"/>
    <col width="9" customWidth="1" min="9" max="9"/>
    <col width="10" customWidth="1" min="10" max="10"/>
    <col width="9" customWidth="1" min="11" max="11"/>
    <col width="12" customWidth="1" min="12" max="12"/>
    <col width="9" customWidth="1" min="13" max="13"/>
    <col width="10" customWidth="1" min="14" max="14"/>
    <col width="12" customWidth="1" min="15" max="15"/>
    <col width="12" customWidth="1" min="16" max="16"/>
    <col width="12" customWidth="1" min="17" max="17"/>
    <col width="12" customWidth="1" min="18" max="18"/>
    <col width="50" customWidth="1" min="19" max="19"/>
  </cols>
  <sheetData>
    <row r="1">
      <c r="A1" s="1" t="inlineStr">
        <is>
          <t>ID</t>
        </is>
      </c>
      <c r="B1" s="1" t="inlineStr">
        <is>
          <t>Elemento</t>
        </is>
      </c>
      <c r="C1" s="1" t="inlineStr">
        <is>
          <t>Capa</t>
        </is>
      </c>
      <c r="D1" s="1" t="inlineStr">
        <is>
          <t>Espesor de muro (m)</t>
        </is>
      </c>
      <c r="E1" s="1" t="inlineStr">
        <is>
          <t>Tipo de cimiento</t>
        </is>
      </c>
      <c r="F1" s="1" t="inlineStr">
        <is>
          <t>Ancho de cimiento (m)</t>
        </is>
      </c>
      <c r="G1" s="1" t="inlineStr">
        <is>
          <t>Peralte de cimiento (m)</t>
        </is>
      </c>
      <c r="H1" s="1" t="inlineStr">
        <is>
          <t>Longitud</t>
        </is>
      </c>
      <c r="I1" s="1" t="inlineStr">
        <is>
          <t>Unidad longitud</t>
        </is>
      </c>
      <c r="J1" s="1" t="inlineStr">
        <is>
          <t>Altura</t>
        </is>
      </c>
      <c r="K1" s="1" t="inlineStr">
        <is>
          <t>Unidad altura</t>
        </is>
      </c>
      <c r="L1" s="1" t="inlineStr">
        <is>
          <t>Área</t>
        </is>
      </c>
      <c r="M1" s="1" t="inlineStr">
        <is>
          <t>Unidad área</t>
        </is>
      </c>
      <c r="N1" s="1" t="inlineStr">
        <is>
          <t>Handle</t>
        </is>
      </c>
      <c r="O1" s="1" t="inlineStr">
        <is>
          <t>X inicio (m)</t>
        </is>
      </c>
      <c r="P1" s="1" t="inlineStr">
        <is>
          <t>Y inicio (m)</t>
        </is>
      </c>
      <c r="Q1" s="1" t="inlineStr">
        <is>
          <t>X fin (m)</t>
        </is>
      </c>
      <c r="R1" s="1" t="inlineStr">
        <is>
          <t>Y fin (m)</t>
        </is>
      </c>
      <c r="S1" s="1" t="inlineStr">
        <is>
          <t>Observaciones</t>
        </is>
      </c>
    </row>
    <row r="2">
      <c r="A2" s="2" t="inlineStr">
        <is>
          <t>C-001</t>
        </is>
      </c>
      <c r="B2" s="2" t="inlineStr">
        <is>
          <t>Cimiento corrido</t>
        </is>
      </c>
      <c r="C2" s="2" t="inlineStr">
        <is>
          <t>Cimiento corrido CC1 de 0.40 x 0.20 m</t>
        </is>
      </c>
      <c r="D2" s="3" t="n">
        <v>0.15</v>
      </c>
      <c r="E2" s="2" t="inlineStr">
        <is>
          <t>CC1</t>
        </is>
      </c>
      <c r="F2" s="3" t="n">
        <v>0.4</v>
      </c>
      <c r="G2" s="3" t="n">
        <v>0.2</v>
      </c>
      <c r="H2" s="4" t="n">
        <v>2.5</v>
      </c>
      <c r="I2" s="2" t="inlineStr">
        <is>
          <t>m</t>
        </is>
      </c>
      <c r="J2" s="2" t="n"/>
      <c r="K2" s="2" t="n"/>
      <c r="L2" s="2" t="n"/>
      <c r="M2" s="2" t="n"/>
      <c r="N2" s="2" t="inlineStr">
        <is>
          <t>196</t>
        </is>
      </c>
      <c r="O2" s="4" t="n">
        <v>2.775557561562891e-17</v>
      </c>
      <c r="P2" s="4" t="n">
        <v>0</v>
      </c>
      <c r="Q2" s="4" t="n">
        <v>2.5</v>
      </c>
      <c r="R2" s="4" t="n">
        <v>0</v>
      </c>
      <c r="S2" s="2" t="inlineStr"/>
    </row>
    <row r="3">
      <c r="A3" s="2" t="inlineStr">
        <is>
          <t>C-002</t>
        </is>
      </c>
      <c r="B3" s="2" t="inlineStr">
        <is>
          <t>Cimiento corrido</t>
        </is>
      </c>
      <c r="C3" s="2" t="inlineStr">
        <is>
          <t>Cimiento corrido CC1 de 0.40 x 0.20 m</t>
        </is>
      </c>
      <c r="D3" s="3" t="n">
        <v>0.15</v>
      </c>
      <c r="E3" s="2" t="inlineStr">
        <is>
          <t>CC1</t>
        </is>
      </c>
      <c r="F3" s="3" t="n">
        <v>0.4</v>
      </c>
      <c r="G3" s="3" t="n">
        <v>0.2</v>
      </c>
      <c r="H3" s="4" t="n">
        <v>2.700000000000003</v>
      </c>
      <c r="I3" s="2" t="inlineStr">
        <is>
          <t>m</t>
        </is>
      </c>
      <c r="J3" s="2" t="n"/>
      <c r="K3" s="2" t="n"/>
      <c r="L3" s="2" t="n"/>
      <c r="M3" s="2" t="n"/>
      <c r="N3" s="2" t="inlineStr">
        <is>
          <t>197</t>
        </is>
      </c>
      <c r="O3" s="4" t="n">
        <v>4.5</v>
      </c>
      <c r="P3" s="4" t="n">
        <v>0</v>
      </c>
      <c r="Q3" s="4" t="n">
        <v>7.200000000000003</v>
      </c>
      <c r="R3" s="4" t="n">
        <v>0</v>
      </c>
      <c r="S3" s="2" t="inlineStr"/>
    </row>
    <row r="4">
      <c r="A4" s="2" t="inlineStr">
        <is>
          <t>C-003</t>
        </is>
      </c>
      <c r="B4" s="2" t="inlineStr">
        <is>
          <t>Cimiento corrido</t>
        </is>
      </c>
      <c r="C4" s="2" t="inlineStr">
        <is>
          <t>Cimiento corrido CC1 de 0.40 x 0.20 m (dentro de zapata)</t>
        </is>
      </c>
      <c r="D4" s="3" t="n">
        <v>0.15</v>
      </c>
      <c r="E4" s="2" t="inlineStr">
        <is>
          <t>CC1</t>
        </is>
      </c>
      <c r="F4" s="3" t="n">
        <v>0.4</v>
      </c>
      <c r="G4" s="3" t="n">
        <v>0.2</v>
      </c>
      <c r="H4" s="4" t="n">
        <v>2</v>
      </c>
      <c r="I4" s="2" t="inlineStr">
        <is>
          <t>m</t>
        </is>
      </c>
      <c r="J4" s="2" t="n"/>
      <c r="K4" s="2" t="n"/>
      <c r="L4" s="2" t="n"/>
      <c r="M4" s="2" t="n"/>
      <c r="N4" s="2" t="inlineStr">
        <is>
          <t>198</t>
        </is>
      </c>
      <c r="O4" s="4" t="n">
        <v>2.5</v>
      </c>
      <c r="P4" s="4" t="n">
        <v>0</v>
      </c>
      <c r="Q4" s="4" t="n">
        <v>4.5</v>
      </c>
      <c r="R4" s="4" t="n">
        <v>0</v>
      </c>
      <c r="S4" s="2" t="inlineStr">
        <is>
          <t>dentro de zapata</t>
        </is>
      </c>
    </row>
    <row r="5">
      <c r="A5" s="2" t="inlineStr">
        <is>
          <t>C-004</t>
        </is>
      </c>
      <c r="B5" s="2" t="inlineStr">
        <is>
          <t>Cimiento corrido</t>
        </is>
      </c>
      <c r="C5" s="2" t="inlineStr">
        <is>
          <t>Cimiento corrido CC1 de 0.40 x 0.20 m</t>
        </is>
      </c>
      <c r="D5" s="3" t="n">
        <v>0.15</v>
      </c>
      <c r="E5" s="2" t="inlineStr">
        <is>
          <t>CC1</t>
        </is>
      </c>
      <c r="F5" s="3" t="n">
        <v>0.4</v>
      </c>
      <c r="G5" s="3" t="n">
        <v>0.2</v>
      </c>
      <c r="H5" s="4" t="n">
        <v>7.499999999999984</v>
      </c>
      <c r="I5" s="2" t="inlineStr">
        <is>
          <t>m</t>
        </is>
      </c>
      <c r="J5" s="2" t="n"/>
      <c r="K5" s="2" t="n"/>
      <c r="L5" s="2" t="n"/>
      <c r="M5" s="2" t="n"/>
      <c r="N5" s="2" t="inlineStr">
        <is>
          <t>199</t>
        </is>
      </c>
      <c r="O5" s="4" t="n">
        <v>34.14999999999998</v>
      </c>
      <c r="P5" s="4" t="n">
        <v>2.409338161081835e-19</v>
      </c>
      <c r="Q5" s="4" t="n">
        <v>30</v>
      </c>
      <c r="R5" s="4" t="n">
        <v>3.35</v>
      </c>
      <c r="S5" s="2" t="inlineStr">
        <is>
          <t>polilínea unida en esquina (3 vértices)</t>
        </is>
      </c>
    </row>
    <row r="6">
      <c r="A6" s="2" t="inlineStr">
        <is>
          <t>C-005</t>
        </is>
      </c>
      <c r="B6" s="2" t="inlineStr">
        <is>
          <t>Cimiento corrido</t>
        </is>
      </c>
      <c r="C6" s="2" t="inlineStr">
        <is>
          <t>Cimiento corrido MC1 de 0.50 x 0.20 m</t>
        </is>
      </c>
      <c r="D6" s="3" t="n">
        <v>0.3</v>
      </c>
      <c r="E6" s="2" t="inlineStr">
        <is>
          <t>MC1</t>
        </is>
      </c>
      <c r="F6" s="3" t="n">
        <v>0.5</v>
      </c>
      <c r="G6" s="3" t="n">
        <v>0.2</v>
      </c>
      <c r="H6" s="4" t="n">
        <v>6.200000000000006</v>
      </c>
      <c r="I6" s="2" t="inlineStr">
        <is>
          <t>m</t>
        </is>
      </c>
      <c r="J6" s="2" t="n"/>
      <c r="K6" s="2" t="n"/>
      <c r="L6" s="2" t="n"/>
      <c r="M6" s="2" t="n"/>
      <c r="N6" s="2" t="inlineStr">
        <is>
          <t>19A</t>
        </is>
      </c>
      <c r="O6" s="4" t="n">
        <v>10</v>
      </c>
      <c r="P6" s="4" t="n">
        <v>0.07499999999999998</v>
      </c>
      <c r="Q6" s="4" t="n">
        <v>16.20000000000001</v>
      </c>
      <c r="R6" s="4" t="n">
        <v>0.07499999999999998</v>
      </c>
      <c r="S6" s="2" t="inlineStr"/>
    </row>
    <row r="7">
      <c r="A7" s="2" t="inlineStr">
        <is>
          <t>M-001</t>
        </is>
      </c>
      <c r="B7" s="2" t="inlineStr">
        <is>
          <t>Muro</t>
        </is>
      </c>
      <c r="C7" s="2" t="inlineStr">
        <is>
          <t>N1 Muro de 15cm</t>
        </is>
      </c>
      <c r="D7" s="3" t="n">
        <v>0.15</v>
      </c>
      <c r="E7" s="2" t="n"/>
      <c r="F7" s="2" t="n"/>
      <c r="G7" s="2" t="n"/>
      <c r="H7" s="4" t="n">
        <v>2</v>
      </c>
      <c r="I7" s="2" t="inlineStr">
        <is>
          <t>m</t>
        </is>
      </c>
      <c r="J7" s="3" t="n">
        <v>2.8</v>
      </c>
      <c r="K7" s="2" t="inlineStr">
        <is>
          <t>m</t>
        </is>
      </c>
      <c r="L7" s="4">
        <f>IF(J7="","",H7*J7)</f>
        <v/>
      </c>
      <c r="M7" s="2" t="inlineStr">
        <is>
          <t>m²</t>
        </is>
      </c>
      <c r="N7" s="2" t="inlineStr">
        <is>
          <t>19B</t>
        </is>
      </c>
      <c r="O7" s="4" t="n">
        <v>2.775557561562891e-17</v>
      </c>
      <c r="P7" s="4" t="n">
        <v>0</v>
      </c>
      <c r="Q7" s="4" t="n">
        <v>2</v>
      </c>
      <c r="R7" s="4" t="n">
        <v>0</v>
      </c>
      <c r="S7" s="2" t="inlineStr"/>
    </row>
    <row r="8">
      <c r="A8" s="2" t="inlineStr">
        <is>
          <t>V-001</t>
        </is>
      </c>
      <c r="B8" s="2" t="inlineStr">
        <is>
          <t>Vano puerta</t>
        </is>
      </c>
      <c r="C8" s="2" t="inlineStr">
        <is>
          <t>N1 Muro de 15cm - Vano puerta</t>
        </is>
      </c>
      <c r="D8" s="3" t="n">
        <v>0.15</v>
      </c>
      <c r="E8" s="2" t="n"/>
      <c r="F8" s="2" t="n"/>
      <c r="G8" s="2" t="n"/>
      <c r="H8" s="4" t="n">
        <v>0.8999999999999999</v>
      </c>
      <c r="I8" s="2" t="inlineStr">
        <is>
          <t>m</t>
        </is>
      </c>
      <c r="J8" s="2" t="n"/>
      <c r="K8" s="2" t="n"/>
      <c r="L8" s="2" t="n"/>
      <c r="M8" s="2" t="n"/>
      <c r="N8" s="2" t="inlineStr">
        <is>
          <t>1A3</t>
        </is>
      </c>
      <c r="O8" s="4" t="n">
        <v>2</v>
      </c>
      <c r="P8" s="4" t="n">
        <v>0</v>
      </c>
      <c r="Q8" s="4" t="n">
        <v>2.9</v>
      </c>
      <c r="R8" s="4" t="n">
        <v>0</v>
      </c>
      <c r="S8" s="2" t="inlineStr">
        <is>
          <t>paño sobre vano no calculado (falta altura de vano)</t>
        </is>
      </c>
    </row>
    <row r="9">
      <c r="A9" s="2" t="inlineStr">
        <is>
          <t>M-002</t>
        </is>
      </c>
      <c r="B9" s="2" t="inlineStr">
        <is>
          <t>Muro</t>
        </is>
      </c>
      <c r="C9" s="2" t="inlineStr">
        <is>
          <t>N1 Muro de 15cm</t>
        </is>
      </c>
      <c r="D9" s="3" t="n">
        <v>0.15</v>
      </c>
      <c r="E9" s="2" t="n"/>
      <c r="F9" s="2" t="n"/>
      <c r="G9" s="2" t="n"/>
      <c r="H9" s="4" t="n">
        <v>4.300000000000002</v>
      </c>
      <c r="I9" s="2" t="inlineStr">
        <is>
          <t>m</t>
        </is>
      </c>
      <c r="J9" s="3" t="n">
        <v>2.8</v>
      </c>
      <c r="K9" s="2" t="inlineStr">
        <is>
          <t>m</t>
        </is>
      </c>
      <c r="L9" s="4">
        <f>IF(J9="","",H9*J9)</f>
        <v/>
      </c>
      <c r="M9" s="2" t="inlineStr">
        <is>
          <t>m²</t>
        </is>
      </c>
      <c r="N9" s="2" t="inlineStr">
        <is>
          <t>1AB</t>
        </is>
      </c>
      <c r="O9" s="4" t="n">
        <v>2.9</v>
      </c>
      <c r="P9" s="4" t="n">
        <v>0</v>
      </c>
      <c r="Q9" s="4" t="n">
        <v>7.200000000000003</v>
      </c>
      <c r="R9" s="4" t="n">
        <v>0</v>
      </c>
      <c r="S9" s="2" t="inlineStr"/>
    </row>
    <row r="10">
      <c r="A10" s="2" t="inlineStr">
        <is>
          <t>M-003</t>
        </is>
      </c>
      <c r="B10" s="2" t="inlineStr">
        <is>
          <t>Muro</t>
        </is>
      </c>
      <c r="C10" s="2" t="inlineStr">
        <is>
          <t>N1 Muro de 15cm</t>
        </is>
      </c>
      <c r="D10" s="3" t="n">
        <v>0.15</v>
      </c>
      <c r="E10" s="2" t="n"/>
      <c r="F10" s="2" t="n"/>
      <c r="G10" s="2" t="n"/>
      <c r="H10" s="4" t="n">
        <v>4.299999999999983</v>
      </c>
      <c r="I10" s="2" t="inlineStr">
        <is>
          <t>m</t>
        </is>
      </c>
      <c r="J10" s="3" t="n">
        <v>2.8</v>
      </c>
      <c r="K10" s="2" t="inlineStr">
        <is>
          <t>m</t>
        </is>
      </c>
      <c r="L10" s="4">
        <f>IF(J10="","",H10*J10)</f>
        <v/>
      </c>
      <c r="M10" s="2" t="inlineStr">
        <is>
          <t>m²</t>
        </is>
      </c>
      <c r="N10" s="2" t="inlineStr">
        <is>
          <t>1B3</t>
        </is>
      </c>
      <c r="O10" s="4" t="n">
        <v>29.85</v>
      </c>
      <c r="P10" s="4" t="n">
        <v>2.409338161081835e-19</v>
      </c>
      <c r="Q10" s="4" t="n">
        <v>34.14999999999998</v>
      </c>
      <c r="R10" s="4" t="n">
        <v>2.409338161081835e-19</v>
      </c>
      <c r="S10" s="2" t="inlineStr"/>
    </row>
    <row r="11">
      <c r="A11" s="2" t="inlineStr">
        <is>
          <t>M-004</t>
        </is>
      </c>
      <c r="B11" s="2" t="inlineStr">
        <is>
          <t>Muro</t>
        </is>
      </c>
      <c r="C11" s="2" t="inlineStr">
        <is>
          <t>N1 Muro de 10cm</t>
        </is>
      </c>
      <c r="D11" s="3" t="n">
        <v>0.1</v>
      </c>
      <c r="E11" s="2" t="n"/>
      <c r="F11" s="2" t="n"/>
      <c r="G11" s="2" t="n"/>
      <c r="H11" s="4" t="n">
        <v>1.999999999999993</v>
      </c>
      <c r="I11" s="2" t="inlineStr">
        <is>
          <t>m</t>
        </is>
      </c>
      <c r="J11" s="3" t="n">
        <v>2.8</v>
      </c>
      <c r="K11" s="2" t="inlineStr">
        <is>
          <t>m</t>
        </is>
      </c>
      <c r="L11" s="4">
        <f>IF(J11="","",H11*J11)</f>
        <v/>
      </c>
      <c r="M11" s="2" t="inlineStr">
        <is>
          <t>m²</t>
        </is>
      </c>
      <c r="N11" s="2" t="inlineStr">
        <is>
          <t>1BB</t>
        </is>
      </c>
      <c r="O11" s="4" t="n">
        <v>20</v>
      </c>
      <c r="P11" s="4" t="n">
        <v>0</v>
      </c>
      <c r="Q11" s="4" t="n">
        <v>21.99999999999999</v>
      </c>
      <c r="R11" s="4" t="n">
        <v>0</v>
      </c>
      <c r="S11" s="2" t="inlineStr">
        <is>
          <t>ancho medido 0.1500 m</t>
        </is>
      </c>
    </row>
    <row r="12">
      <c r="A12" s="2" t="inlineStr">
        <is>
          <t>M-005</t>
        </is>
      </c>
      <c r="B12" s="2" t="inlineStr">
        <is>
          <t>Muro</t>
        </is>
      </c>
      <c r="C12" s="2" t="inlineStr">
        <is>
          <t>N1 Muro de 15cm</t>
        </is>
      </c>
      <c r="D12" s="3" t="n">
        <v>0.15</v>
      </c>
      <c r="E12" s="2" t="n"/>
      <c r="F12" s="2" t="n"/>
      <c r="G12" s="2" t="n"/>
      <c r="H12" s="4" t="n">
        <v>3.2</v>
      </c>
      <c r="I12" s="2" t="inlineStr">
        <is>
          <t>m</t>
        </is>
      </c>
      <c r="J12" s="3" t="n">
        <v>2.8</v>
      </c>
      <c r="K12" s="2" t="inlineStr">
        <is>
          <t>m</t>
        </is>
      </c>
      <c r="L12" s="4">
        <f>IF(J12="","",H12*J12)</f>
        <v/>
      </c>
      <c r="M12" s="2" t="inlineStr">
        <is>
          <t>m²</t>
        </is>
      </c>
      <c r="N12" s="2" t="inlineStr">
        <is>
          <t>1C3</t>
        </is>
      </c>
      <c r="O12" s="4" t="n">
        <v>30</v>
      </c>
      <c r="P12" s="4" t="n">
        <v>0.15</v>
      </c>
      <c r="Q12" s="4" t="n">
        <v>30</v>
      </c>
      <c r="R12" s="4" t="n">
        <v>3.35</v>
      </c>
      <c r="S12" s="2" t="inlineStr"/>
    </row>
    <row r="13">
      <c r="A13" s="2" t="inlineStr">
        <is>
          <t>M-006</t>
        </is>
      </c>
      <c r="B13" s="2" t="inlineStr">
        <is>
          <t>Muro</t>
        </is>
      </c>
      <c r="C13" s="2" t="inlineStr">
        <is>
          <t>N1 Muro de contencion de 30cm</t>
        </is>
      </c>
      <c r="D13" s="3" t="n">
        <v>0.3</v>
      </c>
      <c r="E13" s="2" t="n"/>
      <c r="F13" s="2" t="n"/>
      <c r="G13" s="2" t="n"/>
      <c r="H13" s="4" t="n">
        <v>6.200000000000006</v>
      </c>
      <c r="I13" s="2" t="inlineStr">
        <is>
          <t>m</t>
        </is>
      </c>
      <c r="J13" s="3" t="n">
        <v>2.8</v>
      </c>
      <c r="K13" s="2" t="inlineStr">
        <is>
          <t>m</t>
        </is>
      </c>
      <c r="L13" s="4">
        <f>IF(J13="","",H13*J13)</f>
        <v/>
      </c>
      <c r="M13" s="2" t="inlineStr">
        <is>
          <t>m²</t>
        </is>
      </c>
      <c r="N13" s="2" t="inlineStr">
        <is>
          <t>1CB</t>
        </is>
      </c>
      <c r="O13" s="4" t="n">
        <v>10</v>
      </c>
      <c r="P13" s="4" t="n">
        <v>0.07499999999999998</v>
      </c>
      <c r="Q13" s="4" t="n">
        <v>16.20000000000001</v>
      </c>
      <c r="R13" s="4" t="n">
        <v>0.07499999999999998</v>
      </c>
      <c r="S13" s="2" t="inlineStr">
        <is>
          <t>doble hilada (0.150 m entre centros)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12" customWidth="1" min="3" max="3"/>
    <col width="9" customWidth="1" min="4" max="4"/>
    <col width="12" customWidth="1" min="5" max="5"/>
    <col width="9" customWidth="1" min="6" max="6"/>
    <col width="12" customWidth="1" min="7" max="7"/>
    <col width="9" customWidth="1" min="8" max="8"/>
  </cols>
  <sheetData>
    <row r="1">
      <c r="A1" s="1" t="inlineStr">
        <is>
          <t>Elemento</t>
        </is>
      </c>
      <c r="B1" s="1" t="inlineStr">
        <is>
          <t>Capa</t>
        </is>
      </c>
      <c r="C1" s="1" t="inlineStr">
        <is>
          <t>Cantidad de objetos</t>
        </is>
      </c>
      <c r="D1" s="1" t="inlineStr">
        <is>
          <t>Unidad cantidad</t>
        </is>
      </c>
      <c r="E1" s="1" t="inlineStr">
        <is>
          <t>Longitud</t>
        </is>
      </c>
      <c r="F1" s="1" t="inlineStr">
        <is>
          <t>Unidad longitud</t>
        </is>
      </c>
      <c r="G1" s="1" t="inlineStr">
        <is>
          <t>Área</t>
        </is>
      </c>
      <c r="H1" s="1" t="inlineStr">
        <is>
          <t>Unidad área</t>
        </is>
      </c>
    </row>
    <row r="2">
      <c r="A2" s="2" t="inlineStr">
        <is>
          <t>Cimiento corrido</t>
        </is>
      </c>
      <c r="B2" s="2" t="inlineStr">
        <is>
          <t>Cimiento corrido CC1 de 0.40 x 0.20 m</t>
        </is>
      </c>
      <c r="C2" s="2">
        <f>COUNTIFS(DATOS!$B$2:$B$13,A2,DATOS!$C$2:$C$13,B2)</f>
        <v/>
      </c>
      <c r="D2" s="2" t="inlineStr">
        <is>
          <t>u</t>
        </is>
      </c>
      <c r="E2" s="4">
        <f>SUMIFS(DATOS!$H$2:$H$13,DATOS!$B$2:$B$13,A2,DATOS!$C$2:$C$13,B2)</f>
        <v/>
      </c>
      <c r="F2" s="2" t="inlineStr">
        <is>
          <t>m</t>
        </is>
      </c>
      <c r="G2" s="2" t="n"/>
      <c r="H2" s="2" t="n"/>
    </row>
    <row r="3">
      <c r="A3" s="2" t="inlineStr">
        <is>
          <t>Cimiento corrido</t>
        </is>
      </c>
      <c r="B3" s="2" t="inlineStr">
        <is>
          <t>Cimiento corrido CC1 de 0.40 x 0.20 m (dentro de zapata)</t>
        </is>
      </c>
      <c r="C3" s="2">
        <f>COUNTIFS(DATOS!$B$2:$B$13,A3,DATOS!$C$2:$C$13,B3)</f>
        <v/>
      </c>
      <c r="D3" s="2" t="inlineStr">
        <is>
          <t>u</t>
        </is>
      </c>
      <c r="E3" s="4">
        <f>SUMIFS(DATOS!$H$2:$H$13,DATOS!$B$2:$B$13,A3,DATOS!$C$2:$C$13,B3)</f>
        <v/>
      </c>
      <c r="F3" s="2" t="inlineStr">
        <is>
          <t>m</t>
        </is>
      </c>
      <c r="G3" s="2" t="n"/>
      <c r="H3" s="2" t="n"/>
    </row>
    <row r="4">
      <c r="A4" s="2" t="inlineStr">
        <is>
          <t>Cimiento corrido</t>
        </is>
      </c>
      <c r="B4" s="2" t="inlineStr">
        <is>
          <t>Cimiento corrido MC1 de 0.50 x 0.20 m</t>
        </is>
      </c>
      <c r="C4" s="2">
        <f>COUNTIFS(DATOS!$B$2:$B$13,A4,DATOS!$C$2:$C$13,B4)</f>
        <v/>
      </c>
      <c r="D4" s="2" t="inlineStr">
        <is>
          <t>u</t>
        </is>
      </c>
      <c r="E4" s="4">
        <f>SUMIFS(DATOS!$H$2:$H$13,DATOS!$B$2:$B$13,A4,DATOS!$C$2:$C$13,B4)</f>
        <v/>
      </c>
      <c r="F4" s="2" t="inlineStr">
        <is>
          <t>m</t>
        </is>
      </c>
      <c r="G4" s="2" t="n"/>
      <c r="H4" s="2" t="n"/>
    </row>
    <row r="5">
      <c r="A5" s="2" t="inlineStr">
        <is>
          <t>Muro</t>
        </is>
      </c>
      <c r="B5" s="2" t="inlineStr">
        <is>
          <t>N1 Muro de 10cm</t>
        </is>
      </c>
      <c r="C5" s="2">
        <f>COUNTIFS(DATOS!$B$2:$B$13,A5,DATOS!$C$2:$C$13,B5)</f>
        <v/>
      </c>
      <c r="D5" s="2" t="inlineStr">
        <is>
          <t>u</t>
        </is>
      </c>
      <c r="E5" s="4">
        <f>SUMIFS(DATOS!$H$2:$H$13,DATOS!$B$2:$B$13,A5,DATOS!$C$2:$C$13,B5)</f>
        <v/>
      </c>
      <c r="F5" s="2" t="inlineStr">
        <is>
          <t>m</t>
        </is>
      </c>
      <c r="G5" s="4">
        <f>SUMIFS(DATOS!$L$2:$L$13,DATOS!$B$2:$B$13,A5,DATOS!$C$2:$C$13,B5)</f>
        <v/>
      </c>
      <c r="H5" s="2" t="inlineStr">
        <is>
          <t>m²</t>
        </is>
      </c>
    </row>
    <row r="6">
      <c r="A6" s="2" t="inlineStr">
        <is>
          <t>Muro</t>
        </is>
      </c>
      <c r="B6" s="2" t="inlineStr">
        <is>
          <t>N1 Muro de 15cm</t>
        </is>
      </c>
      <c r="C6" s="2">
        <f>COUNTIFS(DATOS!$B$2:$B$13,A6,DATOS!$C$2:$C$13,B6)</f>
        <v/>
      </c>
      <c r="D6" s="2" t="inlineStr">
        <is>
          <t>u</t>
        </is>
      </c>
      <c r="E6" s="4">
        <f>SUMIFS(DATOS!$H$2:$H$13,DATOS!$B$2:$B$13,A6,DATOS!$C$2:$C$13,B6)</f>
        <v/>
      </c>
      <c r="F6" s="2" t="inlineStr">
        <is>
          <t>m</t>
        </is>
      </c>
      <c r="G6" s="4">
        <f>SUMIFS(DATOS!$L$2:$L$13,DATOS!$B$2:$B$13,A6,DATOS!$C$2:$C$13,B6)</f>
        <v/>
      </c>
      <c r="H6" s="2" t="inlineStr">
        <is>
          <t>m²</t>
        </is>
      </c>
    </row>
    <row r="7">
      <c r="A7" s="2" t="inlineStr">
        <is>
          <t>Muro</t>
        </is>
      </c>
      <c r="B7" s="2" t="inlineStr">
        <is>
          <t>N1 Muro de contencion de 30cm</t>
        </is>
      </c>
      <c r="C7" s="2">
        <f>COUNTIFS(DATOS!$B$2:$B$13,A7,DATOS!$C$2:$C$13,B7)</f>
        <v/>
      </c>
      <c r="D7" s="2" t="inlineStr">
        <is>
          <t>u</t>
        </is>
      </c>
      <c r="E7" s="4">
        <f>SUMIFS(DATOS!$H$2:$H$13,DATOS!$B$2:$B$13,A7,DATOS!$C$2:$C$13,B7)</f>
        <v/>
      </c>
      <c r="F7" s="2" t="inlineStr">
        <is>
          <t>m</t>
        </is>
      </c>
      <c r="G7" s="4">
        <f>SUMIFS(DATOS!$L$2:$L$13,DATOS!$B$2:$B$13,A7,DATOS!$C$2:$C$13,B7)</f>
        <v/>
      </c>
      <c r="H7" s="2" t="inlineStr">
        <is>
          <t>m²</t>
        </is>
      </c>
    </row>
    <row r="8">
      <c r="A8" s="2" t="inlineStr">
        <is>
          <t>Vano puerta</t>
        </is>
      </c>
      <c r="B8" s="2" t="inlineStr">
        <is>
          <t>N1 Muro de 15cm - Vano puerta</t>
        </is>
      </c>
      <c r="C8" s="2">
        <f>COUNTIFS(DATOS!$B$2:$B$13,A8,DATOS!$C$2:$C$13,B8)</f>
        <v/>
      </c>
      <c r="D8" s="2" t="inlineStr">
        <is>
          <t>u</t>
        </is>
      </c>
      <c r="E8" s="4">
        <f>SUMIFS(DATOS!$H$2:$H$13,DATOS!$B$2:$B$13,A8,DATOS!$C$2:$C$13,B8)</f>
        <v/>
      </c>
      <c r="F8" s="2" t="inlineStr">
        <is>
          <t>m</t>
        </is>
      </c>
      <c r="G8" s="2" t="n"/>
      <c r="H8" s="2" t="n"/>
    </row>
    <row r="10">
      <c r="A10" s="5" t="inlineStr">
        <is>
          <t>Total Cimiento corrido</t>
        </is>
      </c>
      <c r="B10" s="5" t="inlineStr">
        <is>
          <t>(todas las capas)</t>
        </is>
      </c>
      <c r="C10" s="5">
        <f>COUNTIFS(DATOS!$B$2:$B$13,"Cimiento corrido")</f>
        <v/>
      </c>
      <c r="D10" s="5" t="inlineStr">
        <is>
          <t>u</t>
        </is>
      </c>
      <c r="E10" s="6">
        <f>SUMIFS(DATOS!$H$2:$H$13,DATOS!$B$2:$B$13,"Cimiento corrido")</f>
        <v/>
      </c>
      <c r="F10" s="5" t="inlineStr">
        <is>
          <t>m</t>
        </is>
      </c>
      <c r="G10" s="5" t="n"/>
      <c r="H10" s="5" t="n"/>
    </row>
    <row r="11">
      <c r="A11" s="5" t="inlineStr">
        <is>
          <t>Total Muro</t>
        </is>
      </c>
      <c r="B11" s="5" t="inlineStr">
        <is>
          <t>(todas las capas)</t>
        </is>
      </c>
      <c r="C11" s="5">
        <f>COUNTIFS(DATOS!$B$2:$B$13,"Muro")</f>
        <v/>
      </c>
      <c r="D11" s="5" t="inlineStr">
        <is>
          <t>u</t>
        </is>
      </c>
      <c r="E11" s="6">
        <f>SUMIFS(DATOS!$H$2:$H$13,DATOS!$B$2:$B$13,"Muro")</f>
        <v/>
      </c>
      <c r="F11" s="5" t="inlineStr">
        <is>
          <t>m</t>
        </is>
      </c>
      <c r="G11" s="6">
        <f>SUMIFS(DATOS!$L$2:$L$13,DATOS!$B$2:$B$13,"Muro")</f>
        <v/>
      </c>
      <c r="H11" s="5" t="inlineStr">
        <is>
          <t>m²</t>
        </is>
      </c>
    </row>
    <row r="12">
      <c r="A12" s="5" t="inlineStr">
        <is>
          <t>Total Vano puerta</t>
        </is>
      </c>
      <c r="B12" s="5" t="inlineStr">
        <is>
          <t>(todas las capas)</t>
        </is>
      </c>
      <c r="C12" s="5">
        <f>COUNTIFS(DATOS!$B$2:$B$13,"Vano puerta")</f>
        <v/>
      </c>
      <c r="D12" s="5" t="inlineStr">
        <is>
          <t>u</t>
        </is>
      </c>
      <c r="E12" s="6">
        <f>SUMIFS(DATOS!$H$2:$H$13,DATOS!$B$2:$B$13,"Vano puerta")</f>
        <v/>
      </c>
      <c r="F12" s="5" t="inlineStr">
        <is>
          <t>m</t>
        </is>
      </c>
      <c r="G12" s="5" t="n"/>
      <c r="H12" s="5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2" customWidth="1" min="3" max="3"/>
    <col width="12" customWidth="1" min="4" max="4"/>
    <col width="30" customWidth="1" min="5" max="5"/>
    <col width="70" customWidth="1" min="6" max="6"/>
    <col width="24" customWidth="1" min="8" max="8"/>
  </cols>
  <sheetData>
    <row r="1">
      <c r="A1" s="1" t="inlineStr">
        <is>
          <t>Marca</t>
        </is>
      </c>
      <c r="B1" s="1" t="inlineStr">
        <is>
          <t>Motivo</t>
        </is>
      </c>
      <c r="C1" s="1" t="inlineStr">
        <is>
          <t>X (m)</t>
        </is>
      </c>
      <c r="D1" s="1" t="inlineStr">
        <is>
          <t>Y (m)</t>
        </is>
      </c>
      <c r="E1" s="1" t="inlineStr">
        <is>
          <t>Handles de origen</t>
        </is>
      </c>
      <c r="F1" s="1" t="inlineStr">
        <is>
          <t>Detalle</t>
        </is>
      </c>
      <c r="H1" s="1" t="inlineStr">
        <is>
          <t>Motivo</t>
        </is>
      </c>
      <c r="I1" s="1" t="inlineStr">
        <is>
          <t>Marcas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70" customWidth="1" min="2" max="2"/>
    <col width="10" customWidth="1" min="3" max="3"/>
  </cols>
  <sheetData>
    <row r="1">
      <c r="A1" s="1" t="inlineStr">
        <is>
          <t>Parámetro</t>
        </is>
      </c>
      <c r="B1" s="1" t="inlineStr">
        <is>
          <t>Valor</t>
        </is>
      </c>
      <c r="C1" s="1" t="inlineStr">
        <is>
          <t>Unidad</t>
        </is>
      </c>
    </row>
    <row r="2">
      <c r="A2" s="2" t="inlineStr">
        <is>
          <t>Plano original</t>
        </is>
      </c>
      <c r="B2" s="2" t="inlineStr">
        <is>
          <t>/home/user/AGENTES-DE-CLOUDE/cuantificador/tests/prueba_bloques.dxf</t>
        </is>
      </c>
      <c r="C2" s="2" t="inlineStr"/>
    </row>
    <row r="3">
      <c r="A3" s="2" t="inlineStr">
        <is>
          <t>sha256 original</t>
        </is>
      </c>
      <c r="B3" s="2" t="inlineStr">
        <is>
          <t>b8622b87498445394a7b04dce2c2ca5cb13a3f4729aa35193b78c88c6fcd339f</t>
        </is>
      </c>
      <c r="C3" s="2" t="inlineStr"/>
    </row>
    <row r="4">
      <c r="A4" s="2" t="inlineStr">
        <is>
          <t>Copia de trabajo</t>
        </is>
      </c>
      <c r="B4" s="2" t="inlineStr">
        <is>
          <t>ejemplos/SALIDA_prueba_bloques_2026-10-15_195636/prueba_bloques - COPIA ORIGINAL.dxf</t>
        </is>
      </c>
      <c r="C4" s="2" t="inlineStr"/>
    </row>
    <row r="5">
      <c r="A5" s="2" t="inlineStr">
        <is>
          <t>DXF de salida</t>
        </is>
      </c>
      <c r="B5" s="2" t="inlineStr">
        <is>
          <t>ejemplos/SALIDA_prueba_bloques_2026-10-15_195636/prueba_bloques - CUANT.dxf</t>
        </is>
      </c>
      <c r="C5" s="2" t="inlineStr"/>
    </row>
    <row r="6">
      <c r="A6" s="2" t="inlineStr">
        <is>
          <t>Capas de origen</t>
        </is>
      </c>
      <c r="B6" s="2" t="inlineStr">
        <is>
          <t>BLK, TABIQUE</t>
        </is>
      </c>
      <c r="C6" s="2" t="inlineStr"/>
    </row>
    <row r="7">
      <c r="A7" s="2" t="inlineStr">
        <is>
          <t>$INSUNITS</t>
        </is>
      </c>
      <c r="B7" s="2" t="inlineStr">
        <is>
          <t>6 (m)</t>
        </is>
      </c>
      <c r="C7" s="2" t="inlineStr"/>
    </row>
    <row r="8">
      <c r="A8" s="2" t="inlineStr">
        <is>
          <t>Factor a metros</t>
        </is>
      </c>
      <c r="B8" s="2" t="n">
        <v>1</v>
      </c>
      <c r="C8" s="2" t="inlineStr">
        <is>
          <t>m/unidad</t>
        </is>
      </c>
    </row>
    <row r="9">
      <c r="A9" s="2" t="inlineStr">
        <is>
          <t>Espesores</t>
        </is>
      </c>
      <c r="B9" s="2" t="inlineStr">
        <is>
          <t>0.10, 0.15, 0.20</t>
        </is>
      </c>
      <c r="C9" s="2" t="inlineStr">
        <is>
          <t>m</t>
        </is>
      </c>
    </row>
    <row r="10">
      <c r="A10" s="2" t="inlineStr">
        <is>
          <t>Nivel</t>
        </is>
      </c>
      <c r="B10" s="2" t="inlineStr">
        <is>
          <t>N1</t>
        </is>
      </c>
      <c r="C10" s="2" t="inlineStr"/>
    </row>
    <row r="11">
      <c r="A11" s="2" t="inlineStr">
        <is>
          <t>Altura de muro</t>
        </is>
      </c>
      <c r="B11" s="2" t="n">
        <v>2.8</v>
      </c>
      <c r="C11" s="2" t="inlineStr">
        <is>
          <t>m</t>
        </is>
      </c>
    </row>
    <row r="12">
      <c r="A12" s="2" t="inlineStr">
        <is>
          <t>Tolerancia de espesor</t>
        </is>
      </c>
      <c r="B12" s="2" t="n">
        <v>0.005</v>
      </c>
      <c r="C12" s="2" t="inlineStr">
        <is>
          <t>m</t>
        </is>
      </c>
    </row>
    <row r="13">
      <c r="A13" s="2" t="inlineStr">
        <is>
          <t>Tolerancia angular</t>
        </is>
      </c>
      <c r="B13" s="2" t="n">
        <v>0.5</v>
      </c>
      <c r="C13" s="2" t="inlineStr">
        <is>
          <t>°</t>
        </is>
      </c>
    </row>
    <row r="14">
      <c r="A14" s="2" t="inlineStr">
        <is>
          <t>Unión de ejes colineales hasta</t>
        </is>
      </c>
      <c r="B14" s="2" t="n">
        <v>0.25</v>
      </c>
      <c r="C14" s="2" t="inlineStr">
        <is>
          <t>m</t>
        </is>
      </c>
    </row>
    <row r="15">
      <c r="A15" s="2" t="inlineStr">
        <is>
          <t>Vano de puerta</t>
        </is>
      </c>
      <c r="B15" s="2" t="inlineStr">
        <is>
          <t>0.7 a 1.5</t>
        </is>
      </c>
      <c r="C15" s="2" t="inlineStr">
        <is>
          <t>m</t>
        </is>
      </c>
    </row>
    <row r="16">
      <c r="A16" s="2" t="inlineStr">
        <is>
          <t>Umbral de eje corto</t>
        </is>
      </c>
      <c r="B16" s="2" t="n">
        <v>0.2</v>
      </c>
      <c r="C16" s="2" t="inlineStr">
        <is>
          <t>m</t>
        </is>
      </c>
    </row>
    <row r="17">
      <c r="A17" s="2" t="inlineStr">
        <is>
          <t>Snap de esquinas</t>
        </is>
      </c>
      <c r="B17" s="2" t="n">
        <v>0.03</v>
      </c>
      <c r="C17" s="2" t="inlineStr">
        <is>
          <t>m</t>
        </is>
      </c>
    </row>
    <row r="18">
      <c r="A18" s="2" t="inlineStr">
        <is>
          <t>Tipos de cimiento (tabla del proyecto)</t>
        </is>
      </c>
      <c r="B18" s="2" t="inlineStr">
        <is>
          <t>{"CC1": {"ancho": 0.4, "peralte": 0.2, "color": 2, "color_dentro": 52}, "MC1": {"ancho": 0.5, "peralte": 0.2, "color": 4, "color_dentro": 144}}</t>
        </is>
      </c>
      <c r="C18" s="2" t="inlineStr">
        <is>
          <t>m</t>
        </is>
      </c>
    </row>
    <row r="19">
      <c r="A19" s="2" t="inlineStr">
        <is>
          <t>Espesores sin cimiento</t>
        </is>
      </c>
      <c r="B19" s="2" t="inlineStr">
        <is>
          <t>0.10</t>
        </is>
      </c>
      <c r="C19" s="2" t="inlineStr">
        <is>
          <t>m</t>
        </is>
      </c>
    </row>
    <row r="20">
      <c r="A20" s="2" t="inlineStr">
        <is>
          <t>Distancia máxima etiqueta - eje</t>
        </is>
      </c>
      <c r="B20" s="2" t="n">
        <v>2.2</v>
      </c>
      <c r="C20" s="2" t="inlineStr">
        <is>
          <t>m</t>
        </is>
      </c>
    </row>
    <row r="21">
      <c r="A21" s="2" t="inlineStr">
        <is>
          <t>Etiquetas de cimiento leídas</t>
        </is>
      </c>
      <c r="B21" s="2" t="n">
        <v>5</v>
      </c>
      <c r="C21" s="2" t="inlineStr">
        <is>
          <t>u</t>
        </is>
      </c>
    </row>
    <row r="22">
      <c r="A22" s="2" t="inlineStr">
        <is>
          <t>Capas de columnas / mochetas</t>
        </is>
      </c>
      <c r="B22" s="2" t="inlineStr">
        <is>
          <t>COL</t>
        </is>
      </c>
      <c r="C22" s="2" t="inlineStr"/>
    </row>
    <row r="23">
      <c r="A23" s="2" t="inlineStr">
        <is>
          <t>Capas de zapatas</t>
        </is>
      </c>
      <c r="B23" s="2" t="inlineStr">
        <is>
          <t>ZAP</t>
        </is>
      </c>
      <c r="C23" s="2" t="inlineStr"/>
    </row>
    <row r="24">
      <c r="A24" s="2" t="inlineStr">
        <is>
          <t>Ventana de análisis</t>
        </is>
      </c>
      <c r="B24" s="2" t="inlineStr">
        <is>
          <t>(todo el modelo)</t>
        </is>
      </c>
      <c r="C24" s="2" t="inlineStr">
        <is>
          <t>m</t>
        </is>
      </c>
    </row>
    <row r="25">
      <c r="A25" s="2" t="inlineStr">
        <is>
          <t>Blocks del emplantillado</t>
        </is>
      </c>
      <c r="B25" s="2" t="n">
        <v>68</v>
      </c>
      <c r="C25" s="2" t="inlineStr">
        <is>
          <t>u</t>
        </is>
      </c>
    </row>
    <row r="26">
      <c r="A26" s="2" t="inlineStr">
        <is>
          <t>Tipo de cimiento por defecto (sin etiqueta)</t>
        </is>
      </c>
      <c r="B26" s="2" t="inlineStr">
        <is>
          <t>{}</t>
        </is>
      </c>
      <c r="C26" s="2" t="inlineStr"/>
    </row>
    <row r="27">
      <c r="A27" s="2" t="inlineStr">
        <is>
          <t>Espesor declarado por capa</t>
        </is>
      </c>
      <c r="B27" s="2" t="inlineStr">
        <is>
          <t>TABIQUE = 0.10</t>
        </is>
      </c>
      <c r="C27" s="2" t="inlineStr">
        <is>
          <t>m</t>
        </is>
      </c>
    </row>
    <row r="28">
      <c r="A28" s="2" t="inlineStr">
        <is>
          <t>Fecha</t>
        </is>
      </c>
      <c r="B28" s="2" t="inlineStr">
        <is>
          <t>2026-10-15 19:56:36</t>
        </is>
      </c>
      <c r="C2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2026-10-15T19:56:36Z</dcterms:created>
  <dcterms:modified xsi:type="dcterms:W3CDTF">2026-10-15T19:56:36Z</dcterms:modified>
</cp:coreProperties>
</file>