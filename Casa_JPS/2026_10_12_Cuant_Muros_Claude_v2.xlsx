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OBSERVACIONES Y RF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CASA JPS - RESUMEN DE MUROS (version Claude, desde emplantillados S-1, S-3, S-5)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3">
      <c r="A3" s="4" t="inlineStr">
        <is>
          <t>Nivel</t>
        </is>
      </c>
      <c r="B3" s="4" t="inlineStr">
        <is>
          <t>Tipo</t>
        </is>
      </c>
      <c r="C3" s="4" t="inlineStr">
        <is>
          <t>No. tramos</t>
        </is>
      </c>
      <c r="D3" s="4" t="inlineStr">
        <is>
          <t>Long. bruta (ml)</t>
        </is>
      </c>
      <c r="E3" s="4" t="inlineStr">
        <is>
          <t>Long. vanos (ml)</t>
        </is>
      </c>
      <c r="F3" s="4" t="inlineStr">
        <is>
          <t>Long. sin vanos (ml)</t>
        </is>
      </c>
      <c r="G3" s="4" t="inlineStr">
        <is>
          <t>Area neta (m2)</t>
        </is>
      </c>
      <c r="H3" s="4" t="inlineStr">
        <is>
          <t>V2 Claude long. (ml)</t>
        </is>
      </c>
      <c r="I3" s="4" t="inlineStr">
        <is>
          <t>V2 Claude area neta (m2)</t>
        </is>
      </c>
      <c r="J3" s="4" t="inlineStr">
        <is>
          <t>A mano long. (ml)</t>
        </is>
      </c>
      <c r="K3" s="4" t="inlineStr">
        <is>
          <t>A mano area neta (m2)</t>
        </is>
      </c>
      <c r="L3" s="4" t="inlineStr">
        <is>
          <t>Nota</t>
        </is>
      </c>
    </row>
    <row r="4">
      <c r="A4" s="5" t="inlineStr">
        <is>
          <t>SÓTANO</t>
        </is>
      </c>
      <c r="B4" s="5" t="inlineStr">
        <is>
          <t>Muro de 10cm</t>
        </is>
      </c>
      <c r="C4" s="5">
        <f>COUNTIFS(MUROS!$A$4:$A$163,$A4,MUROS!$C$4:$C$163,$B4)</f>
        <v/>
      </c>
      <c r="D4" s="6">
        <f>SUMIFS(MUROS!$I$4:$I$163,MUROS!$A$4:$A$163,$A4,MUROS!$C$4:$C$163,$B4)</f>
        <v/>
      </c>
      <c r="E4" s="6">
        <f>SUMIFS(MUROS!$K$4:$K$163,MUROS!$A$4:$A$163,$A4,MUROS!$C$4:$C$163,$B4)</f>
        <v/>
      </c>
      <c r="F4" s="6">
        <f>D4-E4</f>
        <v/>
      </c>
      <c r="G4" s="6">
        <f>SUMIFS(MUROS!$Q$4:$Q$163,MUROS!$A$4:$A$163,$A4,MUROS!$C$4:$C$163,$B4)</f>
        <v/>
      </c>
      <c r="H4" s="6" t="n">
        <v>6.87</v>
      </c>
      <c r="I4" s="6" t="n">
        <v>32.71</v>
      </c>
      <c r="J4" s="6" t="n">
        <v>9.800000000000001</v>
      </c>
      <c r="K4" s="6" t="n">
        <v>44.05</v>
      </c>
      <c r="L4" s="5" t="inlineStr"/>
    </row>
    <row r="5">
      <c r="A5" s="5" t="inlineStr">
        <is>
          <t>SÓTANO</t>
        </is>
      </c>
      <c r="B5" s="5" t="inlineStr">
        <is>
          <t>Muro de 15cm</t>
        </is>
      </c>
      <c r="C5" s="5">
        <f>COUNTIFS(MUROS!$A$4:$A$163,$A5,MUROS!$C$4:$C$163,$B5)</f>
        <v/>
      </c>
      <c r="D5" s="6">
        <f>SUMIFS(MUROS!$I$4:$I$163,MUROS!$A$4:$A$163,$A5,MUROS!$C$4:$C$163,$B5)</f>
        <v/>
      </c>
      <c r="E5" s="6">
        <f>SUMIFS(MUROS!$K$4:$K$163,MUROS!$A$4:$A$163,$A5,MUROS!$C$4:$C$163,$B5)</f>
        <v/>
      </c>
      <c r="F5" s="6">
        <f>D5-E5</f>
        <v/>
      </c>
      <c r="G5" s="6">
        <f>SUMIFS(MUROS!$Q$4:$Q$163,MUROS!$A$4:$A$163,$A5,MUROS!$C$4:$C$163,$B5)</f>
        <v/>
      </c>
      <c r="H5" s="6" t="n">
        <v>51.49</v>
      </c>
      <c r="I5" s="6" t="n">
        <v>232.87</v>
      </c>
      <c r="J5" s="6" t="n">
        <v>58.45</v>
      </c>
      <c r="K5" s="6" t="n">
        <v>276.69</v>
      </c>
      <c r="L5" s="5" t="inlineStr"/>
    </row>
    <row r="6">
      <c r="A6" s="5" t="inlineStr">
        <is>
          <t>SÓTANO</t>
        </is>
      </c>
      <c r="B6" s="5" t="inlineStr">
        <is>
          <t>Muro de 20cm</t>
        </is>
      </c>
      <c r="C6" s="5">
        <f>COUNTIFS(MUROS!$A$4:$A$163,$A6,MUROS!$C$4:$C$163,$B6)</f>
        <v/>
      </c>
      <c r="D6" s="6">
        <f>SUMIFS(MUROS!$I$4:$I$163,MUROS!$A$4:$A$163,$A6,MUROS!$C$4:$C$163,$B6)</f>
        <v/>
      </c>
      <c r="E6" s="6">
        <f>SUMIFS(MUROS!$K$4:$K$163,MUROS!$A$4:$A$163,$A6,MUROS!$C$4:$C$163,$B6)</f>
        <v/>
      </c>
      <c r="F6" s="6">
        <f>D6-E6</f>
        <v/>
      </c>
      <c r="G6" s="6">
        <f>SUMIFS(MUROS!$Q$4:$Q$163,MUROS!$A$4:$A$163,$A6,MUROS!$C$4:$C$163,$B6)</f>
        <v/>
      </c>
      <c r="H6" s="6" t="n">
        <v>20.5</v>
      </c>
      <c r="I6" s="6" t="n">
        <v>96.27</v>
      </c>
      <c r="J6" s="6" t="n">
        <v>16.57</v>
      </c>
      <c r="K6" s="6" t="n">
        <v>75.86</v>
      </c>
      <c r="L6" s="5" t="inlineStr"/>
    </row>
    <row r="7">
      <c r="A7" s="5" t="inlineStr">
        <is>
          <t>SÓTANO</t>
        </is>
      </c>
      <c r="B7" s="5" t="inlineStr">
        <is>
          <t>Muro de contención de 30cm</t>
        </is>
      </c>
      <c r="C7" s="5">
        <f>COUNTIFS(MUROS!$A$4:$A$163,$A7,MUROS!$C$4:$C$163,$B7)</f>
        <v/>
      </c>
      <c r="D7" s="6">
        <f>SUMIFS(MUROS!$I$4:$I$163,MUROS!$A$4:$A$163,$A7,MUROS!$C$4:$C$163,$B7)</f>
        <v/>
      </c>
      <c r="E7" s="6">
        <f>SUMIFS(MUROS!$K$4:$K$163,MUROS!$A$4:$A$163,$A7,MUROS!$C$4:$C$163,$B7)</f>
        <v/>
      </c>
      <c r="F7" s="6">
        <f>D7-E7</f>
        <v/>
      </c>
      <c r="G7" s="6">
        <f>SUMIFS(MUROS!$Q$4:$Q$163,MUROS!$A$4:$A$163,$A7,MUROS!$C$4:$C$163,$B7)</f>
        <v/>
      </c>
      <c r="H7" s="6" t="n">
        <v>114.83</v>
      </c>
      <c r="I7" s="6" t="n">
        <v>493.75</v>
      </c>
      <c r="J7" s="6" t="n">
        <v>126.26</v>
      </c>
      <c r="K7" s="6" t="n">
        <v>545.1799999999999</v>
      </c>
      <c r="L7" s="5" t="inlineStr">
        <is>
          <t>A mano: contencion = 0.20 + 0.30 (1.83 + 124.43 ml)</t>
        </is>
      </c>
    </row>
    <row r="8">
      <c r="A8" s="1" t="inlineStr">
        <is>
          <t>SÓTANO</t>
        </is>
      </c>
      <c r="B8" s="1" t="inlineStr">
        <is>
          <t>Subtotal</t>
        </is>
      </c>
      <c r="C8" s="1">
        <f>SUM(C4:C7)</f>
        <v/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  <c r="H8" s="7">
        <f>SUM(H4:H7)</f>
        <v/>
      </c>
      <c r="I8" s="7">
        <f>SUM(I4:I7)</f>
        <v/>
      </c>
      <c r="J8" s="7">
        <f>SUM(J4:J7)</f>
        <v/>
      </c>
      <c r="K8" s="7">
        <f>SUM(K4:K7)</f>
        <v/>
      </c>
    </row>
    <row r="10">
      <c r="A10" s="5" t="inlineStr">
        <is>
          <t>NIVEL 1</t>
        </is>
      </c>
      <c r="B10" s="5" t="inlineStr">
        <is>
          <t>Muro de 10cm</t>
        </is>
      </c>
      <c r="C10" s="5">
        <f>COUNTIFS(MUROS!$A$4:$A$163,$A10,MUROS!$C$4:$C$163,$B10)</f>
        <v/>
      </c>
      <c r="D10" s="6">
        <f>SUMIFS(MUROS!$I$4:$I$163,MUROS!$A$4:$A$163,$A10,MUROS!$C$4:$C$163,$B10)</f>
        <v/>
      </c>
      <c r="E10" s="6">
        <f>SUMIFS(MUROS!$K$4:$K$163,MUROS!$A$4:$A$163,$A10,MUROS!$C$4:$C$163,$B10)</f>
        <v/>
      </c>
      <c r="F10" s="6">
        <f>D10-E10</f>
        <v/>
      </c>
      <c r="G10" s="6">
        <f>SUMIFS(MUROS!$Q$4:$Q$163,MUROS!$A$4:$A$163,$A10,MUROS!$C$4:$C$163,$B10)</f>
        <v/>
      </c>
      <c r="H10" s="6" t="n">
        <v>8.23</v>
      </c>
      <c r="I10" s="6" t="n">
        <v>26.33</v>
      </c>
      <c r="J10" s="6" t="n">
        <v>6.92</v>
      </c>
      <c r="K10" s="6" t="n">
        <v>22.15</v>
      </c>
      <c r="L10" s="5" t="inlineStr"/>
    </row>
    <row r="11">
      <c r="A11" s="5" t="inlineStr">
        <is>
          <t>NIVEL 1</t>
        </is>
      </c>
      <c r="B11" s="5" t="inlineStr">
        <is>
          <t>Muro de 15cm</t>
        </is>
      </c>
      <c r="C11" s="5">
        <f>COUNTIFS(MUROS!$A$4:$A$163,$A11,MUROS!$C$4:$C$163,$B11)</f>
        <v/>
      </c>
      <c r="D11" s="6">
        <f>SUMIFS(MUROS!$I$4:$I$163,MUROS!$A$4:$A$163,$A11,MUROS!$C$4:$C$163,$B11)</f>
        <v/>
      </c>
      <c r="E11" s="6">
        <f>SUMIFS(MUROS!$K$4:$K$163,MUROS!$A$4:$A$163,$A11,MUROS!$C$4:$C$163,$B11)</f>
        <v/>
      </c>
      <c r="F11" s="6">
        <f>D11-E11</f>
        <v/>
      </c>
      <c r="G11" s="6">
        <f>SUMIFS(MUROS!$Q$4:$Q$163,MUROS!$A$4:$A$163,$A11,MUROS!$C$4:$C$163,$B11)</f>
        <v/>
      </c>
      <c r="H11" s="6" t="n">
        <v>77.72</v>
      </c>
      <c r="I11" s="6" t="n">
        <v>275.9</v>
      </c>
      <c r="J11" s="6" t="n">
        <v>95.76000000000001</v>
      </c>
      <c r="K11" s="6" t="n">
        <v>373.27</v>
      </c>
      <c r="L11" s="5" t="inlineStr"/>
    </row>
    <row r="12">
      <c r="A12" s="5" t="inlineStr">
        <is>
          <t>NIVEL 1</t>
        </is>
      </c>
      <c r="B12" s="5" t="inlineStr">
        <is>
          <t>Muro perimetral de 15cm</t>
        </is>
      </c>
      <c r="C12" s="5">
        <f>COUNTIFS(MUROS!$A$4:$A$163,$A12,MUROS!$C$4:$C$163,$B12)</f>
        <v/>
      </c>
      <c r="D12" s="6">
        <f>SUMIFS(MUROS!$I$4:$I$163,MUROS!$A$4:$A$163,$A12,MUROS!$C$4:$C$163,$B12)</f>
        <v/>
      </c>
      <c r="E12" s="6">
        <f>SUMIFS(MUROS!$K$4:$K$163,MUROS!$A$4:$A$163,$A12,MUROS!$C$4:$C$163,$B12)</f>
        <v/>
      </c>
      <c r="F12" s="6">
        <f>D12-E12</f>
        <v/>
      </c>
      <c r="G12" s="6">
        <f>SUMIFS(MUROS!$Q$4:$Q$163,MUROS!$A$4:$A$163,$A12,MUROS!$C$4:$C$163,$B12)</f>
        <v/>
      </c>
      <c r="H12" s="6" t="n">
        <v>69</v>
      </c>
      <c r="I12" s="6" t="n">
        <v>244.94</v>
      </c>
      <c r="J12" s="6" t="n">
        <v>69.06</v>
      </c>
      <c r="K12" s="6" t="n">
        <v>245.18</v>
      </c>
      <c r="L12" s="5" t="inlineStr"/>
    </row>
    <row r="13">
      <c r="A13" s="5" t="inlineStr">
        <is>
          <t>NIVEL 1</t>
        </is>
      </c>
      <c r="B13" s="5" t="inlineStr">
        <is>
          <t>Muro de 20cm</t>
        </is>
      </c>
      <c r="C13" s="5">
        <f>COUNTIFS(MUROS!$A$4:$A$163,$A13,MUROS!$C$4:$C$163,$B13)</f>
        <v/>
      </c>
      <c r="D13" s="6">
        <f>SUMIFS(MUROS!$I$4:$I$163,MUROS!$A$4:$A$163,$A13,MUROS!$C$4:$C$163,$B13)</f>
        <v/>
      </c>
      <c r="E13" s="6">
        <f>SUMIFS(MUROS!$K$4:$K$163,MUROS!$A$4:$A$163,$A13,MUROS!$C$4:$C$163,$B13)</f>
        <v/>
      </c>
      <c r="F13" s="6">
        <f>D13-E13</f>
        <v/>
      </c>
      <c r="G13" s="6">
        <f>SUMIFS(MUROS!$Q$4:$Q$163,MUROS!$A$4:$A$163,$A13,MUROS!$C$4:$C$163,$B13)</f>
        <v/>
      </c>
      <c r="H13" s="6" t="n">
        <v>40.82</v>
      </c>
      <c r="I13" s="6" t="n">
        <v>144.93</v>
      </c>
      <c r="J13" s="6" t="n">
        <v>38.59</v>
      </c>
      <c r="K13" s="6" t="n">
        <v>135.45</v>
      </c>
      <c r="L13" s="5" t="inlineStr"/>
    </row>
    <row r="14">
      <c r="A14" s="5" t="inlineStr">
        <is>
          <t>NIVEL 1</t>
        </is>
      </c>
      <c r="B14" s="5" t="inlineStr">
        <is>
          <t>Muro de contención de 30cm</t>
        </is>
      </c>
      <c r="C14" s="5">
        <f>COUNTIFS(MUROS!$A$4:$A$163,$A14,MUROS!$C$4:$C$163,$B14)</f>
        <v/>
      </c>
      <c r="D14" s="6">
        <f>SUMIFS(MUROS!$I$4:$I$163,MUROS!$A$4:$A$163,$A14,MUROS!$C$4:$C$163,$B14)</f>
        <v/>
      </c>
      <c r="E14" s="6">
        <f>SUMIFS(MUROS!$K$4:$K$163,MUROS!$A$4:$A$163,$A14,MUROS!$C$4:$C$163,$B14)</f>
        <v/>
      </c>
      <c r="F14" s="6">
        <f>D14-E14</f>
        <v/>
      </c>
      <c r="G14" s="6">
        <f>SUMIFS(MUROS!$Q$4:$Q$163,MUROS!$A$4:$A$163,$A14,MUROS!$C$4:$C$163,$B14)</f>
        <v/>
      </c>
      <c r="H14" s="6" t="n">
        <v>3.42</v>
      </c>
      <c r="I14" s="6" t="n">
        <v>12.16</v>
      </c>
      <c r="J14" s="6" t="n">
        <v>7.91</v>
      </c>
      <c r="K14" s="6" t="n">
        <v>28.08</v>
      </c>
      <c r="L14" s="5" t="inlineStr"/>
    </row>
    <row r="15">
      <c r="A15" s="1" t="inlineStr">
        <is>
          <t>NIVEL 1</t>
        </is>
      </c>
      <c r="B15" s="1" t="inlineStr">
        <is>
          <t>Subtotal</t>
        </is>
      </c>
      <c r="C15" s="1">
        <f>SUM(C10:C14)</f>
        <v/>
      </c>
      <c r="D15" s="7">
        <f>SUM(D10:D14)</f>
        <v/>
      </c>
      <c r="E15" s="7">
        <f>SUM(E10:E14)</f>
        <v/>
      </c>
      <c r="F15" s="7">
        <f>SUM(F10:F14)</f>
        <v/>
      </c>
      <c r="G15" s="7">
        <f>SUM(G10:G14)</f>
        <v/>
      </c>
      <c r="H15" s="7">
        <f>SUM(H10:H14)</f>
        <v/>
      </c>
      <c r="I15" s="7">
        <f>SUM(I10:I14)</f>
        <v/>
      </c>
      <c r="J15" s="7">
        <f>SUM(J10:J14)</f>
        <v/>
      </c>
      <c r="K15" s="7">
        <f>SUM(K10:K14)</f>
        <v/>
      </c>
    </row>
    <row r="17">
      <c r="A17" s="5" t="inlineStr">
        <is>
          <t>NIVEL 2</t>
        </is>
      </c>
      <c r="B17" s="5" t="inlineStr">
        <is>
          <t>Muro de 10cm</t>
        </is>
      </c>
      <c r="C17" s="5">
        <f>COUNTIFS(MUROS!$A$4:$A$163,$A17,MUROS!$C$4:$C$163,$B17)</f>
        <v/>
      </c>
      <c r="D17" s="6">
        <f>SUMIFS(MUROS!$I$4:$I$163,MUROS!$A$4:$A$163,$A17,MUROS!$C$4:$C$163,$B17)</f>
        <v/>
      </c>
      <c r="E17" s="6">
        <f>SUMIFS(MUROS!$K$4:$K$163,MUROS!$A$4:$A$163,$A17,MUROS!$C$4:$C$163,$B17)</f>
        <v/>
      </c>
      <c r="F17" s="6">
        <f>D17-E17</f>
        <v/>
      </c>
      <c r="G17" s="6">
        <f>SUMIFS(MUROS!$Q$4:$Q$163,MUROS!$A$4:$A$163,$A17,MUROS!$C$4:$C$163,$B17)</f>
        <v/>
      </c>
      <c r="H17" s="6" t="n">
        <v>14.23</v>
      </c>
      <c r="I17" s="6" t="n">
        <v>45.55</v>
      </c>
      <c r="J17" s="6" t="n">
        <v>13.45</v>
      </c>
      <c r="K17" s="6" t="n">
        <v>44.79</v>
      </c>
      <c r="L17" s="5" t="inlineStr"/>
    </row>
    <row r="18">
      <c r="A18" s="5" t="inlineStr">
        <is>
          <t>NIVEL 2</t>
        </is>
      </c>
      <c r="B18" s="5" t="inlineStr">
        <is>
          <t>Muro de 15cm</t>
        </is>
      </c>
      <c r="C18" s="5">
        <f>COUNTIFS(MUROS!$A$4:$A$163,$A18,MUROS!$C$4:$C$163,$B18)</f>
        <v/>
      </c>
      <c r="D18" s="6">
        <f>SUMIFS(MUROS!$I$4:$I$163,MUROS!$A$4:$A$163,$A18,MUROS!$C$4:$C$163,$B18)</f>
        <v/>
      </c>
      <c r="E18" s="6">
        <f>SUMIFS(MUROS!$K$4:$K$163,MUROS!$A$4:$A$163,$A18,MUROS!$C$4:$C$163,$B18)</f>
        <v/>
      </c>
      <c r="F18" s="6">
        <f>D18-E18</f>
        <v/>
      </c>
      <c r="G18" s="6">
        <f>SUMIFS(MUROS!$Q$4:$Q$163,MUROS!$A$4:$A$163,$A18,MUROS!$C$4:$C$163,$B18)</f>
        <v/>
      </c>
      <c r="H18" s="6" t="n">
        <v>157.73</v>
      </c>
      <c r="I18" s="6" t="n">
        <v>522.64</v>
      </c>
      <c r="J18" s="6" t="n">
        <v>161.67</v>
      </c>
      <c r="K18" s="6" t="n">
        <v>540.74</v>
      </c>
      <c r="L18" s="5" t="inlineStr"/>
    </row>
    <row r="19">
      <c r="A19" s="5" t="inlineStr">
        <is>
          <t>NIVEL 2</t>
        </is>
      </c>
      <c r="B19" s="5" t="inlineStr">
        <is>
          <t>Muro de 20cm</t>
        </is>
      </c>
      <c r="C19" s="5">
        <f>COUNTIFS(MUROS!$A$4:$A$163,$A19,MUROS!$C$4:$C$163,$B19)</f>
        <v/>
      </c>
      <c r="D19" s="6">
        <f>SUMIFS(MUROS!$I$4:$I$163,MUROS!$A$4:$A$163,$A19,MUROS!$C$4:$C$163,$B19)</f>
        <v/>
      </c>
      <c r="E19" s="6">
        <f>SUMIFS(MUROS!$K$4:$K$163,MUROS!$A$4:$A$163,$A19,MUROS!$C$4:$C$163,$B19)</f>
        <v/>
      </c>
      <c r="F19" s="6">
        <f>D19-E19</f>
        <v/>
      </c>
      <c r="G19" s="6">
        <f>SUMIFS(MUROS!$Q$4:$Q$163,MUROS!$A$4:$A$163,$A19,MUROS!$C$4:$C$163,$B19)</f>
        <v/>
      </c>
      <c r="H19" s="6" t="n">
        <v>17.39</v>
      </c>
      <c r="I19" s="6" t="n">
        <v>57.87</v>
      </c>
      <c r="J19" s="6" t="n">
        <v>9.77</v>
      </c>
      <c r="K19" s="6" t="n">
        <v>32.63</v>
      </c>
      <c r="L19" s="5" t="inlineStr"/>
    </row>
    <row r="20">
      <c r="A20" s="5" t="inlineStr">
        <is>
          <t>NIVEL 2</t>
        </is>
      </c>
      <c r="B20" s="5" t="inlineStr">
        <is>
          <t>Muro de contención de 30cm</t>
        </is>
      </c>
      <c r="C20" s="5">
        <f>COUNTIFS(MUROS!$A$4:$A$163,$A20,MUROS!$C$4:$C$163,$B20)</f>
        <v/>
      </c>
      <c r="D20" s="6">
        <f>SUMIFS(MUROS!$I$4:$I$163,MUROS!$A$4:$A$163,$A20,MUROS!$C$4:$C$163,$B20)</f>
        <v/>
      </c>
      <c r="E20" s="6">
        <f>SUMIFS(MUROS!$K$4:$K$163,MUROS!$A$4:$A$163,$A20,MUROS!$C$4:$C$163,$B20)</f>
        <v/>
      </c>
      <c r="F20" s="6">
        <f>D20-E20</f>
        <v/>
      </c>
      <c r="G20" s="6">
        <f>SUMIFS(MUROS!$Q$4:$Q$163,MUROS!$A$4:$A$163,$A20,MUROS!$C$4:$C$163,$B20)</f>
        <v/>
      </c>
      <c r="H20" s="6" t="n">
        <v>4.15</v>
      </c>
      <c r="I20" s="6" t="n">
        <v>13.28</v>
      </c>
      <c r="J20" s="6" t="n">
        <v>7.73</v>
      </c>
      <c r="K20" s="6" t="n">
        <v>28.15</v>
      </c>
      <c r="L20" s="5" t="inlineStr"/>
    </row>
    <row r="21">
      <c r="A21" s="1" t="inlineStr">
        <is>
          <t>NIVEL 2</t>
        </is>
      </c>
      <c r="B21" s="1" t="inlineStr">
        <is>
          <t>Subtotal</t>
        </is>
      </c>
      <c r="C21" s="1">
        <f>SUM(C17:C20)</f>
        <v/>
      </c>
      <c r="D21" s="7">
        <f>SUM(D17:D20)</f>
        <v/>
      </c>
      <c r="E21" s="7">
        <f>SUM(E17:E20)</f>
        <v/>
      </c>
      <c r="F21" s="7">
        <f>SUM(F17:F20)</f>
        <v/>
      </c>
      <c r="G21" s="7">
        <f>SUM(G17:G20)</f>
        <v/>
      </c>
      <c r="H21" s="7">
        <f>SUM(H17:H20)</f>
        <v/>
      </c>
      <c r="I21" s="7">
        <f>SUM(I17:I20)</f>
        <v/>
      </c>
      <c r="J21" s="7">
        <f>SUM(J17:J20)</f>
        <v/>
      </c>
      <c r="K21" s="7">
        <f>SUM(K17:K20)</f>
        <v/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8" customWidth="1" min="3" max="3"/>
    <col width="20" customWidth="1" min="4" max="4"/>
    <col width="70" customWidth="1" min="5" max="5"/>
  </cols>
  <sheetData>
    <row r="1">
      <c r="A1" s="1" t="inlineStr">
        <is>
          <t>CASA JPS - MUROS - PARAMETROS</t>
        </is>
      </c>
      <c r="B1" s="2" t="n"/>
      <c r="C1" s="2" t="n"/>
      <c r="D1" s="2" t="n"/>
      <c r="E1" s="3" t="n"/>
    </row>
    <row r="3">
      <c r="A3" s="4" t="inlineStr">
        <is>
          <t>Parametro</t>
        </is>
      </c>
      <c r="B3" s="4" t="inlineStr">
        <is>
          <t>Valor</t>
        </is>
      </c>
      <c r="C3" s="4" t="inlineStr">
        <is>
          <t>Unidad</t>
        </is>
      </c>
      <c r="D3" s="4" t="inlineStr">
        <is>
          <t>Etiqueta</t>
        </is>
      </c>
      <c r="E3" s="4" t="inlineStr">
        <is>
          <t>Fuente</t>
        </is>
      </c>
    </row>
    <row r="4">
      <c r="A4" s="5" t="inlineStr">
        <is>
          <t>SÓTANO|General</t>
        </is>
      </c>
      <c r="B4" s="6" t="n">
        <v>4.3</v>
      </c>
      <c r="C4" s="5" t="inlineStr">
        <is>
          <t>m</t>
        </is>
      </c>
      <c r="D4" s="5" t="inlineStr">
        <is>
          <t>[Dato verificado]</t>
        </is>
      </c>
      <c r="E4" s="5" t="inlineStr">
        <is>
          <t>S-1 detalle MC1: 0.80 bajo NPT -3.85 + 3.50 hasta losa NPT -0.35; detalle CC1: 0.80</t>
        </is>
      </c>
    </row>
    <row r="5">
      <c r="A5" s="5" t="inlineStr">
        <is>
          <t>SÓTANO|Bajo losa NPT 0.00 (ejes 5-6, A-C)</t>
        </is>
      </c>
      <c r="B5" s="6" t="n">
        <v>4.65</v>
      </c>
      <c r="C5" s="5" t="inlineStr">
        <is>
          <t>m</t>
        </is>
      </c>
      <c r="D5" s="5" t="inlineStr">
        <is>
          <t>[Cálculo]</t>
        </is>
      </c>
      <c r="E5" s="5" t="inlineStr">
        <is>
          <t>0.80 + 3.85 (NPT -3.85 a losa NPT 0.00, S-2 simbologia y DL3); no aplica a contencion (detalle MC1 = 4.30)</t>
        </is>
      </c>
    </row>
    <row r="6">
      <c r="A6" s="5" t="inlineStr">
        <is>
          <t>NIVEL 1|General</t>
        </is>
      </c>
      <c r="B6" s="6" t="n">
        <v>3.55</v>
      </c>
      <c r="C6" s="5" t="inlineStr">
        <is>
          <t>m</t>
        </is>
      </c>
      <c r="D6" s="5" t="inlineStr">
        <is>
          <t>[Cálculo]</t>
        </is>
      </c>
      <c r="E6" s="5" t="inlineStr">
        <is>
          <t>S-7/S-8: piso NPT -0.35 a losa NPT +3.20</t>
        </is>
      </c>
    </row>
    <row r="7">
      <c r="A7" s="5" t="inlineStr">
        <is>
          <t>NIVEL 1|Piso NPT 0.00 (ejes 5-6, A-C)</t>
        </is>
      </c>
      <c r="B7" s="6" t="n">
        <v>3.2</v>
      </c>
      <c r="C7" s="5" t="inlineStr">
        <is>
          <t>m</t>
        </is>
      </c>
      <c r="D7" s="5" t="inlineStr">
        <is>
          <t>[Cálculo]</t>
        </is>
      </c>
      <c r="E7" s="5" t="inlineStr">
        <is>
          <t>S-2: piso NPT 0.00 entre ejes 5-6 y A-C a losa +3.20</t>
        </is>
      </c>
    </row>
    <row r="8">
      <c r="A8" s="5" t="inlineStr">
        <is>
          <t>NIVEL 1|Ala este (losa +4.20)</t>
        </is>
      </c>
      <c r="B8" s="6" t="n">
        <v>4.55</v>
      </c>
      <c r="C8" s="5" t="inlineStr">
        <is>
          <t>m</t>
        </is>
      </c>
      <c r="D8" s="5" t="inlineStr">
        <is>
          <t>[Cálculo]</t>
        </is>
      </c>
      <c r="E8" s="5" t="inlineStr">
        <is>
          <t>S-7 seccion A: ala al este del eje 6, piso NPT -0.35 a losa NPT +4.20</t>
        </is>
      </c>
    </row>
    <row r="9">
      <c r="A9" s="5" t="inlineStr">
        <is>
          <t>NIVEL 2|General</t>
        </is>
      </c>
      <c r="B9" s="6" t="n">
        <v>3.2</v>
      </c>
      <c r="C9" s="5" t="inlineStr">
        <is>
          <t>m</t>
        </is>
      </c>
      <c r="D9" s="5" t="inlineStr">
        <is>
          <t>[Cálculo]</t>
        </is>
      </c>
      <c r="E9" s="5" t="inlineStr">
        <is>
          <t>S-7/S-8: NPT +3.20 a NPT +6.40</t>
        </is>
      </c>
    </row>
    <row r="10">
      <c r="A10" s="5" t="inlineStr">
        <is>
          <t>Altura de puerta (vano)</t>
        </is>
      </c>
      <c r="B10" s="6" t="n">
        <v>2.1</v>
      </c>
      <c r="C10" s="5" t="inlineStr">
        <is>
          <t>m</t>
        </is>
      </c>
      <c r="D10" s="5" t="inlineStr">
        <is>
          <t>[Supuesto]</t>
        </is>
      </c>
      <c r="E10" s="5" t="inlineStr">
        <is>
          <t>No esta en planos estructurales; criterio del libro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9" customWidth="1" min="10" max="10"/>
    <col width="10" customWidth="1" min="11" max="11"/>
    <col width="11" customWidth="1" min="12" max="12"/>
    <col width="18" customWidth="1" min="13" max="13"/>
    <col width="9" customWidth="1" min="14" max="14"/>
    <col width="11" customWidth="1" min="15" max="15"/>
    <col width="10" customWidth="1" min="16" max="16"/>
    <col width="11" customWidth="1" min="17" max="17"/>
    <col width="28" customWidth="1" min="18" max="18"/>
    <col width="40" customWidth="1" min="19" max="19"/>
    <col width="40" customWidth="1" min="20" max="20"/>
  </cols>
  <sheetData>
    <row r="1">
      <c r="A1" s="1" t="inlineStr">
        <is>
          <t>MUROS POR TRAMO - medidos del emplantillado (blocks) de cada planta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3">
      <c r="A3" s="4" t="inlineStr">
        <is>
          <t>Nivel</t>
        </is>
      </c>
      <c r="B3" s="4" t="inlineStr">
        <is>
          <t>ID</t>
        </is>
      </c>
      <c r="C3" s="4" t="inlineStr">
        <is>
          <t>Tipo</t>
        </is>
      </c>
      <c r="D3" s="4" t="inlineStr">
        <is>
          <t>Espesor (m)</t>
        </is>
      </c>
      <c r="E3" s="4" t="inlineStr">
        <is>
          <t>X inicio</t>
        </is>
      </c>
      <c r="F3" s="4" t="inlineStr">
        <is>
          <t>Y inicio</t>
        </is>
      </c>
      <c r="G3" s="4" t="inlineStr">
        <is>
          <t>X fin</t>
        </is>
      </c>
      <c r="H3" s="4" t="inlineStr">
        <is>
          <t>Y fin</t>
        </is>
      </c>
      <c r="I3" s="4" t="inlineStr">
        <is>
          <t>Longitud bruta (ml)</t>
        </is>
      </c>
      <c r="J3" s="4" t="inlineStr">
        <is>
          <t>No. vanos puerta</t>
        </is>
      </c>
      <c r="K3" s="4" t="inlineStr">
        <is>
          <t>Long. vanos (ml)</t>
        </is>
      </c>
      <c r="L3" s="4" t="inlineStr">
        <is>
          <t>Long. muro sin vanos (ml)</t>
        </is>
      </c>
      <c r="M3" s="4" t="inlineStr">
        <is>
          <t>Zona</t>
        </is>
      </c>
      <c r="N3" s="4" t="inlineStr">
        <is>
          <t>Altura muro (m)</t>
        </is>
      </c>
      <c r="O3" s="4" t="inlineStr">
        <is>
          <t>Area bruta (m2)</t>
        </is>
      </c>
      <c r="P3" s="4" t="inlineStr">
        <is>
          <t>Area vanos (m2)</t>
        </is>
      </c>
      <c r="Q3" s="4" t="inlineStr">
        <is>
          <t>Area neta (m2)</t>
        </is>
      </c>
      <c r="R3" s="4" t="inlineStr">
        <is>
          <t>Plano</t>
        </is>
      </c>
      <c r="S3" s="4" t="inlineStr">
        <is>
          <t>Metodo</t>
        </is>
      </c>
      <c r="T3" s="4" t="inlineStr">
        <is>
          <t>Observaciones</t>
        </is>
      </c>
    </row>
    <row r="4">
      <c r="A4" s="5" t="inlineStr">
        <is>
          <t>SÓTANO</t>
        </is>
      </c>
      <c r="B4" s="5" t="inlineStr">
        <is>
          <t>SOT-01</t>
        </is>
      </c>
      <c r="C4" s="5" t="inlineStr">
        <is>
          <t>Muro de 10cm</t>
        </is>
      </c>
      <c r="D4" s="6" t="n">
        <v>0.1</v>
      </c>
      <c r="E4" s="8" t="n">
        <v>-10.663</v>
      </c>
      <c r="F4" s="8" t="n">
        <v>-2.614</v>
      </c>
      <c r="G4" s="8" t="n">
        <v>-9.961</v>
      </c>
      <c r="H4" s="8" t="n">
        <v>-2.614</v>
      </c>
      <c r="I4" s="8" t="n">
        <v>0.702</v>
      </c>
      <c r="J4" s="5" t="n">
        <v>0</v>
      </c>
      <c r="K4" s="8" t="n">
        <v>0</v>
      </c>
      <c r="L4" s="8">
        <f>I4-K4</f>
        <v/>
      </c>
      <c r="M4" s="5" t="inlineStr">
        <is>
          <t>General</t>
        </is>
      </c>
      <c r="N4" s="6">
        <f>VLOOKUP(A4&amp;"|"&amp;M4,PARAMETROS!$A$4:$B$9,2,FALSE)</f>
        <v/>
      </c>
      <c r="O4" s="8">
        <f>I4*N4</f>
        <v/>
      </c>
      <c r="P4" s="8">
        <f>K4*PARAMETROS!$B$10</f>
        <v/>
      </c>
      <c r="Q4" s="8">
        <f>O4-P4</f>
        <v/>
      </c>
      <c r="R4" s="5" t="inlineStr">
        <is>
          <t>S-1 CIMENTACION Y DETALLES</t>
        </is>
      </c>
      <c r="S4" s="5" t="inlineStr">
        <is>
          <t>Corrida de blocks colineales; union por columna/mocheta; esquina al muro mas largo</t>
        </is>
      </c>
      <c r="T4" s="5" t="inlineStr"/>
    </row>
    <row r="5">
      <c r="A5" s="5" t="inlineStr">
        <is>
          <t>SÓTANO</t>
        </is>
      </c>
      <c r="B5" s="5" t="inlineStr">
        <is>
          <t>SOT-02</t>
        </is>
      </c>
      <c r="C5" s="5" t="inlineStr">
        <is>
          <t>Muro de 15cm</t>
        </is>
      </c>
      <c r="D5" s="6" t="n">
        <v>0.15</v>
      </c>
      <c r="E5" s="8" t="n">
        <v>-10.553</v>
      </c>
      <c r="F5" s="8" t="n">
        <v>-0.589</v>
      </c>
      <c r="G5" s="8" t="n">
        <v>-2.612</v>
      </c>
      <c r="H5" s="8" t="n">
        <v>-0.589</v>
      </c>
      <c r="I5" s="8" t="n">
        <v>7.941</v>
      </c>
      <c r="J5" s="5" t="n">
        <v>1</v>
      </c>
      <c r="K5" s="8" t="n">
        <v>0.7</v>
      </c>
      <c r="L5" s="8">
        <f>I5-K5</f>
        <v/>
      </c>
      <c r="M5" s="5" t="inlineStr">
        <is>
          <t>General</t>
        </is>
      </c>
      <c r="N5" s="6">
        <f>VLOOKUP(A5&amp;"|"&amp;M5,PARAMETROS!$A$4:$B$9,2,FALSE)</f>
        <v/>
      </c>
      <c r="O5" s="8">
        <f>I5*N5</f>
        <v/>
      </c>
      <c r="P5" s="8">
        <f>K5*PARAMETROS!$B$10</f>
        <v/>
      </c>
      <c r="Q5" s="8">
        <f>O5-P5</f>
        <v/>
      </c>
      <c r="R5" s="5" t="inlineStr">
        <is>
          <t>S-1 CIMENTACION Y DETALLES</t>
        </is>
      </c>
      <c r="S5" s="5" t="inlineStr">
        <is>
          <t>Corrida de blocks colineales; union por columna/mocheta; esquina al muro mas largo</t>
        </is>
      </c>
      <c r="T5" s="5" t="inlineStr"/>
    </row>
    <row r="6">
      <c r="A6" s="5" t="inlineStr">
        <is>
          <t>SÓTANO</t>
        </is>
      </c>
      <c r="B6" s="5" t="inlineStr">
        <is>
          <t>SOT-03</t>
        </is>
      </c>
      <c r="C6" s="5" t="inlineStr">
        <is>
          <t>Muro de 15cm</t>
        </is>
      </c>
      <c r="D6" s="6" t="n">
        <v>0.15</v>
      </c>
      <c r="E6" s="8" t="n">
        <v>-11.511</v>
      </c>
      <c r="F6" s="8" t="n">
        <v>1.158</v>
      </c>
      <c r="G6" s="8" t="n">
        <v>-2.6</v>
      </c>
      <c r="H6" s="8" t="n">
        <v>1.158</v>
      </c>
      <c r="I6" s="8" t="n">
        <v>8.911</v>
      </c>
      <c r="J6" s="5" t="n">
        <v>2</v>
      </c>
      <c r="K6" s="8" t="n">
        <v>1.8</v>
      </c>
      <c r="L6" s="8">
        <f>I6-K6</f>
        <v/>
      </c>
      <c r="M6" s="5" t="inlineStr">
        <is>
          <t>General</t>
        </is>
      </c>
      <c r="N6" s="6">
        <f>VLOOKUP(A6&amp;"|"&amp;M6,PARAMETROS!$A$4:$B$9,2,FALSE)</f>
        <v/>
      </c>
      <c r="O6" s="8">
        <f>I6*N6</f>
        <v/>
      </c>
      <c r="P6" s="8">
        <f>K6*PARAMETROS!$B$10</f>
        <v/>
      </c>
      <c r="Q6" s="8">
        <f>O6-P6</f>
        <v/>
      </c>
      <c r="R6" s="5" t="inlineStr">
        <is>
          <t>S-1 CIMENTACION Y DETALLES</t>
        </is>
      </c>
      <c r="S6" s="5" t="inlineStr">
        <is>
          <t>Corrida de blocks colineales; union por columna/mocheta; esquina al muro mas largo</t>
        </is>
      </c>
      <c r="T6" s="5" t="inlineStr"/>
    </row>
    <row r="7">
      <c r="A7" s="5" t="inlineStr">
        <is>
          <t>SÓTANO</t>
        </is>
      </c>
      <c r="B7" s="5" t="inlineStr">
        <is>
          <t>SOT-04</t>
        </is>
      </c>
      <c r="C7" s="5" t="inlineStr">
        <is>
          <t>Muro de 15cm</t>
        </is>
      </c>
      <c r="D7" s="6" t="n">
        <v>0.15</v>
      </c>
      <c r="E7" s="8" t="n">
        <v>-2.6</v>
      </c>
      <c r="F7" s="8" t="n">
        <v>1.158</v>
      </c>
      <c r="G7" s="8" t="n">
        <v>1.81</v>
      </c>
      <c r="H7" s="8" t="n">
        <v>1.158</v>
      </c>
      <c r="I7" s="8" t="n">
        <v>4.41</v>
      </c>
      <c r="J7" s="5" t="n">
        <v>0</v>
      </c>
      <c r="K7" s="8" t="n">
        <v>0</v>
      </c>
      <c r="L7" s="8">
        <f>I7-K7</f>
        <v/>
      </c>
      <c r="M7" s="5" t="inlineStr">
        <is>
          <t>General</t>
        </is>
      </c>
      <c r="N7" s="6">
        <f>VLOOKUP(A7&amp;"|"&amp;M7,PARAMETROS!$A$4:$B$9,2,FALSE)</f>
        <v/>
      </c>
      <c r="O7" s="8">
        <f>I7*N7</f>
        <v/>
      </c>
      <c r="P7" s="8">
        <f>K7*PARAMETROS!$B$10</f>
        <v/>
      </c>
      <c r="Q7" s="8">
        <f>O7-P7</f>
        <v/>
      </c>
      <c r="R7" s="5" t="inlineStr">
        <is>
          <t>S-1 CIMENTACION Y DETALLES</t>
        </is>
      </c>
      <c r="S7" s="5" t="inlineStr">
        <is>
          <t>Corrida de blocks colineales; union por columna/mocheta; esquina al muro mas largo</t>
        </is>
      </c>
      <c r="T7" s="5" t="inlineStr"/>
    </row>
    <row r="8">
      <c r="A8" s="5" t="inlineStr">
        <is>
          <t>SÓTANO</t>
        </is>
      </c>
      <c r="B8" s="5" t="inlineStr">
        <is>
          <t>SOT-05</t>
        </is>
      </c>
      <c r="C8" s="5" t="inlineStr">
        <is>
          <t>Muro de 15cm</t>
        </is>
      </c>
      <c r="D8" s="6" t="n">
        <v>0.15</v>
      </c>
      <c r="E8" s="8" t="n">
        <v>1.81</v>
      </c>
      <c r="F8" s="8" t="n">
        <v>1.158</v>
      </c>
      <c r="G8" s="8" t="n">
        <v>1.889</v>
      </c>
      <c r="H8" s="8" t="n">
        <v>1.158</v>
      </c>
      <c r="I8" s="8" t="n">
        <v>0.079</v>
      </c>
      <c r="J8" s="5" t="n">
        <v>0</v>
      </c>
      <c r="K8" s="8" t="n">
        <v>0</v>
      </c>
      <c r="L8" s="8">
        <f>I8-K8</f>
        <v/>
      </c>
      <c r="M8" s="5" t="inlineStr">
        <is>
          <t>General</t>
        </is>
      </c>
      <c r="N8" s="6">
        <f>VLOOKUP(A8&amp;"|"&amp;M8,PARAMETROS!$A$4:$B$9,2,FALSE)</f>
        <v/>
      </c>
      <c r="O8" s="8">
        <f>I8*N8</f>
        <v/>
      </c>
      <c r="P8" s="8">
        <f>K8*PARAMETROS!$B$10</f>
        <v/>
      </c>
      <c r="Q8" s="8">
        <f>O8-P8</f>
        <v/>
      </c>
      <c r="R8" s="5" t="inlineStr">
        <is>
          <t>S-1 CIMENTACION Y DETALLES</t>
        </is>
      </c>
      <c r="S8" s="5" t="inlineStr">
        <is>
          <t>Corrida de blocks colineales; union por columna/mocheta; esquina al muro mas largo</t>
        </is>
      </c>
      <c r="T8" s="5" t="inlineStr">
        <is>
          <t>Tramo corto: verificar</t>
        </is>
      </c>
    </row>
    <row r="9">
      <c r="A9" s="5" t="inlineStr">
        <is>
          <t>SÓTANO</t>
        </is>
      </c>
      <c r="B9" s="5" t="inlineStr">
        <is>
          <t>SOT-06</t>
        </is>
      </c>
      <c r="C9" s="5" t="inlineStr">
        <is>
          <t>Muro de 15cm</t>
        </is>
      </c>
      <c r="D9" s="6" t="n">
        <v>0.15</v>
      </c>
      <c r="E9" s="8" t="n">
        <v>-15.261</v>
      </c>
      <c r="F9" s="8" t="n">
        <v>5.864</v>
      </c>
      <c r="G9" s="8" t="n">
        <v>-11.511</v>
      </c>
      <c r="H9" s="8" t="n">
        <v>5.864</v>
      </c>
      <c r="I9" s="8" t="n">
        <v>3.75</v>
      </c>
      <c r="J9" s="5" t="n">
        <v>0</v>
      </c>
      <c r="K9" s="8" t="n">
        <v>0</v>
      </c>
      <c r="L9" s="8">
        <f>I9-K9</f>
        <v/>
      </c>
      <c r="M9" s="5" t="inlineStr">
        <is>
          <t>General</t>
        </is>
      </c>
      <c r="N9" s="6">
        <f>VLOOKUP(A9&amp;"|"&amp;M9,PARAMETROS!$A$4:$B$9,2,FALSE)</f>
        <v/>
      </c>
      <c r="O9" s="8">
        <f>I9*N9</f>
        <v/>
      </c>
      <c r="P9" s="8">
        <f>K9*PARAMETROS!$B$10</f>
        <v/>
      </c>
      <c r="Q9" s="8">
        <f>O9-P9</f>
        <v/>
      </c>
      <c r="R9" s="5" t="inlineStr">
        <is>
          <t>S-1 CIMENTACION Y DETALLES</t>
        </is>
      </c>
      <c r="S9" s="5" t="inlineStr">
        <is>
          <t>Corrida de blocks colineales; union por columna/mocheta; esquina al muro mas largo</t>
        </is>
      </c>
      <c r="T9" s="5" t="inlineStr"/>
    </row>
    <row r="10">
      <c r="A10" s="5" t="inlineStr">
        <is>
          <t>SÓTANO</t>
        </is>
      </c>
      <c r="B10" s="5" t="inlineStr">
        <is>
          <t>SOT-07</t>
        </is>
      </c>
      <c r="C10" s="5" t="inlineStr">
        <is>
          <t>Muro de 15cm</t>
        </is>
      </c>
      <c r="D10" s="6" t="n">
        <v>0.15</v>
      </c>
      <c r="E10" s="8" t="n">
        <v>-11.511</v>
      </c>
      <c r="F10" s="8" t="n">
        <v>7.81</v>
      </c>
      <c r="G10" s="8" t="n">
        <v>-2.6</v>
      </c>
      <c r="H10" s="8" t="n">
        <v>7.81</v>
      </c>
      <c r="I10" s="8" t="n">
        <v>8.911</v>
      </c>
      <c r="J10" s="5" t="n">
        <v>0</v>
      </c>
      <c r="K10" s="8" t="n">
        <v>0</v>
      </c>
      <c r="L10" s="8">
        <f>I10-K10</f>
        <v/>
      </c>
      <c r="M10" s="5" t="inlineStr">
        <is>
          <t>General</t>
        </is>
      </c>
      <c r="N10" s="6">
        <f>VLOOKUP(A10&amp;"|"&amp;M10,PARAMETROS!$A$4:$B$9,2,FALSE)</f>
        <v/>
      </c>
      <c r="O10" s="8">
        <f>I10*N10</f>
        <v/>
      </c>
      <c r="P10" s="8">
        <f>K10*PARAMETROS!$B$10</f>
        <v/>
      </c>
      <c r="Q10" s="8">
        <f>O10-P10</f>
        <v/>
      </c>
      <c r="R10" s="5" t="inlineStr">
        <is>
          <t>S-1 CIMENTACION Y DETALLES</t>
        </is>
      </c>
      <c r="S10" s="5" t="inlineStr">
        <is>
          <t>Corrida de blocks colineales; union por columna/mocheta; esquina al muro mas largo</t>
        </is>
      </c>
      <c r="T10" s="5" t="inlineStr">
        <is>
          <t>3 hueco(s) de columna/mocheta incluidos en la longitud</t>
        </is>
      </c>
    </row>
    <row r="11">
      <c r="A11" s="5" t="inlineStr">
        <is>
          <t>SÓTANO</t>
        </is>
      </c>
      <c r="B11" s="5" t="inlineStr">
        <is>
          <t>SOT-08</t>
        </is>
      </c>
      <c r="C11" s="5" t="inlineStr">
        <is>
          <t>Muro de 15cm</t>
        </is>
      </c>
      <c r="D11" s="6" t="n">
        <v>0.15</v>
      </c>
      <c r="E11" s="8" t="n">
        <v>-2.6</v>
      </c>
      <c r="F11" s="8" t="n">
        <v>7.81</v>
      </c>
      <c r="G11" s="8" t="n">
        <v>1.81</v>
      </c>
      <c r="H11" s="8" t="n">
        <v>7.81</v>
      </c>
      <c r="I11" s="8" t="n">
        <v>4.41</v>
      </c>
      <c r="J11" s="5" t="n">
        <v>0</v>
      </c>
      <c r="K11" s="8" t="n">
        <v>0</v>
      </c>
      <c r="L11" s="8">
        <f>I11-K11</f>
        <v/>
      </c>
      <c r="M11" s="5" t="inlineStr">
        <is>
          <t>Bajo losa NPT 0.00 (ejes 5-6, A-C)</t>
        </is>
      </c>
      <c r="N11" s="6">
        <f>VLOOKUP(A11&amp;"|"&amp;M11,PARAMETROS!$A$4:$B$9,2,FALSE)</f>
        <v/>
      </c>
      <c r="O11" s="8">
        <f>I11*N11</f>
        <v/>
      </c>
      <c r="P11" s="8">
        <f>K11*PARAMETROS!$B$10</f>
        <v/>
      </c>
      <c r="Q11" s="8">
        <f>O11-P11</f>
        <v/>
      </c>
      <c r="R11" s="5" t="inlineStr">
        <is>
          <t>S-1 CIMENTACION Y DETALLES</t>
        </is>
      </c>
      <c r="S11" s="5" t="inlineStr">
        <is>
          <t>Corrida de blocks colineales; union por columna/mocheta; esquina al muro mas largo</t>
        </is>
      </c>
      <c r="T11" s="5" t="inlineStr">
        <is>
          <t>3 hueco(s) de columna/mocheta incluidos en la longitud</t>
        </is>
      </c>
    </row>
    <row r="12">
      <c r="A12" s="5" t="inlineStr">
        <is>
          <t>SÓTANO</t>
        </is>
      </c>
      <c r="B12" s="5" t="inlineStr">
        <is>
          <t>SOT-09</t>
        </is>
      </c>
      <c r="C12" s="5" t="inlineStr">
        <is>
          <t>Muro de 15cm</t>
        </is>
      </c>
      <c r="D12" s="6" t="n">
        <v>0.15</v>
      </c>
      <c r="E12" s="8" t="n">
        <v>1.81</v>
      </c>
      <c r="F12" s="8" t="n">
        <v>7.81</v>
      </c>
      <c r="G12" s="8" t="n">
        <v>1.889</v>
      </c>
      <c r="H12" s="8" t="n">
        <v>7.81</v>
      </c>
      <c r="I12" s="8" t="n">
        <v>0.079</v>
      </c>
      <c r="J12" s="5" t="n">
        <v>0</v>
      </c>
      <c r="K12" s="8" t="n">
        <v>0</v>
      </c>
      <c r="L12" s="8">
        <f>I12-K12</f>
        <v/>
      </c>
      <c r="M12" s="5" t="inlineStr">
        <is>
          <t>Bajo losa NPT 0.00 (ejes 5-6, A-C)</t>
        </is>
      </c>
      <c r="N12" s="6">
        <f>VLOOKUP(A12&amp;"|"&amp;M12,PARAMETROS!$A$4:$B$9,2,FALSE)</f>
        <v/>
      </c>
      <c r="O12" s="8">
        <f>I12*N12</f>
        <v/>
      </c>
      <c r="P12" s="8">
        <f>K12*PARAMETROS!$B$10</f>
        <v/>
      </c>
      <c r="Q12" s="8">
        <f>O12-P12</f>
        <v/>
      </c>
      <c r="R12" s="5" t="inlineStr">
        <is>
          <t>S-1 CIMENTACION Y DETALLES</t>
        </is>
      </c>
      <c r="S12" s="5" t="inlineStr">
        <is>
          <t>Corrida de blocks colineales; union por columna/mocheta; esquina al muro mas largo</t>
        </is>
      </c>
      <c r="T12" s="5" t="inlineStr">
        <is>
          <t>Tramo corto: verificar; 3 hueco(s) de columna/mocheta incluidos en la longitud</t>
        </is>
      </c>
    </row>
    <row r="13">
      <c r="A13" s="5" t="inlineStr">
        <is>
          <t>SÓTANO</t>
        </is>
      </c>
      <c r="B13" s="5" t="inlineStr">
        <is>
          <t>SOT-10</t>
        </is>
      </c>
      <c r="C13" s="5" t="inlineStr">
        <is>
          <t>Muro de 15cm</t>
        </is>
      </c>
      <c r="D13" s="6" t="n">
        <v>0.15</v>
      </c>
      <c r="E13" s="8" t="n">
        <v>1.579</v>
      </c>
      <c r="F13" s="8" t="n">
        <v>8.76</v>
      </c>
      <c r="G13" s="8" t="n">
        <v>1.81</v>
      </c>
      <c r="H13" s="8" t="n">
        <v>8.76</v>
      </c>
      <c r="I13" s="8" t="n">
        <v>0.231</v>
      </c>
      <c r="J13" s="5" t="n">
        <v>0</v>
      </c>
      <c r="K13" s="8" t="n">
        <v>0</v>
      </c>
      <c r="L13" s="8">
        <f>I13-K13</f>
        <v/>
      </c>
      <c r="M13" s="5" t="inlineStr">
        <is>
          <t>Bajo losa NPT 0.00 (ejes 5-6, A-C)</t>
        </is>
      </c>
      <c r="N13" s="6">
        <f>VLOOKUP(A13&amp;"|"&amp;M13,PARAMETROS!$A$4:$B$9,2,FALSE)</f>
        <v/>
      </c>
      <c r="O13" s="8">
        <f>I13*N13</f>
        <v/>
      </c>
      <c r="P13" s="8">
        <f>K13*PARAMETROS!$B$10</f>
        <v/>
      </c>
      <c r="Q13" s="8">
        <f>O13-P13</f>
        <v/>
      </c>
      <c r="R13" s="5" t="inlineStr">
        <is>
          <t>S-1 CIMENTACION Y DETALLES</t>
        </is>
      </c>
      <c r="S13" s="5" t="inlineStr">
        <is>
          <t>Corrida de blocks colineales; union por columna/mocheta; esquina al muro mas largo</t>
        </is>
      </c>
      <c r="T13" s="5" t="inlineStr">
        <is>
          <t>Tramo corto: verificar</t>
        </is>
      </c>
    </row>
    <row r="14">
      <c r="A14" s="5" t="inlineStr">
        <is>
          <t>SÓTANO</t>
        </is>
      </c>
      <c r="B14" s="5" t="inlineStr">
        <is>
          <t>SOT-11</t>
        </is>
      </c>
      <c r="C14" s="5" t="inlineStr">
        <is>
          <t>Muro de 15cm</t>
        </is>
      </c>
      <c r="D14" s="6" t="n">
        <v>0.15</v>
      </c>
      <c r="E14" s="8" t="n">
        <v>1.81</v>
      </c>
      <c r="F14" s="8" t="n">
        <v>8.76</v>
      </c>
      <c r="G14" s="8" t="n">
        <v>1.889</v>
      </c>
      <c r="H14" s="8" t="n">
        <v>8.76</v>
      </c>
      <c r="I14" s="8" t="n">
        <v>0.079</v>
      </c>
      <c r="J14" s="5" t="n">
        <v>0</v>
      </c>
      <c r="K14" s="8" t="n">
        <v>0</v>
      </c>
      <c r="L14" s="8">
        <f>I14-K14</f>
        <v/>
      </c>
      <c r="M14" s="5" t="inlineStr">
        <is>
          <t>Bajo losa NPT 0.00 (ejes 5-6, A-C)</t>
        </is>
      </c>
      <c r="N14" s="6">
        <f>VLOOKUP(A14&amp;"|"&amp;M14,PARAMETROS!$A$4:$B$9,2,FALSE)</f>
        <v/>
      </c>
      <c r="O14" s="8">
        <f>I14*N14</f>
        <v/>
      </c>
      <c r="P14" s="8">
        <f>K14*PARAMETROS!$B$10</f>
        <v/>
      </c>
      <c r="Q14" s="8">
        <f>O14-P14</f>
        <v/>
      </c>
      <c r="R14" s="5" t="inlineStr">
        <is>
          <t>S-1 CIMENTACION Y DETALLES</t>
        </is>
      </c>
      <c r="S14" s="5" t="inlineStr">
        <is>
          <t>Corrida de blocks colineales; union por columna/mocheta; esquina al muro mas largo</t>
        </is>
      </c>
      <c r="T14" s="5" t="inlineStr">
        <is>
          <t>Tramo corto: verificar</t>
        </is>
      </c>
    </row>
    <row r="15">
      <c r="A15" s="5" t="inlineStr">
        <is>
          <t>SÓTANO</t>
        </is>
      </c>
      <c r="B15" s="5" t="inlineStr">
        <is>
          <t>SOT-12</t>
        </is>
      </c>
      <c r="C15" s="5" t="inlineStr">
        <is>
          <t>Muro de contención de 30cm</t>
        </is>
      </c>
      <c r="D15" s="6" t="n">
        <v>0.3</v>
      </c>
      <c r="E15" s="8" t="n">
        <v>-10.663</v>
      </c>
      <c r="F15" s="8" t="n">
        <v>-3.614</v>
      </c>
      <c r="G15" s="8" t="n">
        <v>-2.6</v>
      </c>
      <c r="H15" s="8" t="n">
        <v>-3.614</v>
      </c>
      <c r="I15" s="8" t="n">
        <v>8.063000000000001</v>
      </c>
      <c r="J15" s="5" t="n">
        <v>0</v>
      </c>
      <c r="K15" s="8" t="n">
        <v>0</v>
      </c>
      <c r="L15" s="8">
        <f>I15-K15</f>
        <v/>
      </c>
      <c r="M15" s="5" t="inlineStr">
        <is>
          <t>General</t>
        </is>
      </c>
      <c r="N15" s="6">
        <f>VLOOKUP(A15&amp;"|"&amp;M15,PARAMETROS!$A$4:$B$9,2,FALSE)</f>
        <v/>
      </c>
      <c r="O15" s="8">
        <f>I15*N15</f>
        <v/>
      </c>
      <c r="P15" s="8">
        <f>K15*PARAMETROS!$B$10</f>
        <v/>
      </c>
      <c r="Q15" s="8">
        <f>O15-P15</f>
        <v/>
      </c>
      <c r="R15" s="5" t="inlineStr">
        <is>
          <t>S-1 CIMENTACION Y DETALLES</t>
        </is>
      </c>
      <c r="S15" s="5" t="inlineStr">
        <is>
          <t>Corrida de blocks colineales; union por columna/mocheta; esquina al muro mas largo</t>
        </is>
      </c>
      <c r="T15" s="5" t="inlineStr"/>
    </row>
    <row r="16">
      <c r="A16" s="5" t="inlineStr">
        <is>
          <t>SÓTANO</t>
        </is>
      </c>
      <c r="B16" s="5" t="inlineStr">
        <is>
          <t>SOT-13</t>
        </is>
      </c>
      <c r="C16" s="5" t="inlineStr">
        <is>
          <t>Muro de contención de 30cm</t>
        </is>
      </c>
      <c r="D16" s="6" t="n">
        <v>0.3</v>
      </c>
      <c r="E16" s="8" t="n">
        <v>-2.6</v>
      </c>
      <c r="F16" s="8" t="n">
        <v>-3.614</v>
      </c>
      <c r="G16" s="8" t="n">
        <v>1.589</v>
      </c>
      <c r="H16" s="8" t="n">
        <v>-3.614</v>
      </c>
      <c r="I16" s="8" t="n">
        <v>4.189</v>
      </c>
      <c r="J16" s="5" t="n">
        <v>0</v>
      </c>
      <c r="K16" s="8" t="n">
        <v>0</v>
      </c>
      <c r="L16" s="8">
        <f>I16-K16</f>
        <v/>
      </c>
      <c r="M16" s="5" t="inlineStr">
        <is>
          <t>General</t>
        </is>
      </c>
      <c r="N16" s="6">
        <f>VLOOKUP(A16&amp;"|"&amp;M16,PARAMETROS!$A$4:$B$9,2,FALSE)</f>
        <v/>
      </c>
      <c r="O16" s="8">
        <f>I16*N16</f>
        <v/>
      </c>
      <c r="P16" s="8">
        <f>K16*PARAMETROS!$B$10</f>
        <v/>
      </c>
      <c r="Q16" s="8">
        <f>O16-P16</f>
        <v/>
      </c>
      <c r="R16" s="5" t="inlineStr">
        <is>
          <t>S-1 CIMENTACION Y DETALLES</t>
        </is>
      </c>
      <c r="S16" s="5" t="inlineStr">
        <is>
          <t>Corrida de blocks colineales; union por columna/mocheta; esquina al muro mas largo</t>
        </is>
      </c>
      <c r="T16" s="5" t="inlineStr"/>
    </row>
    <row r="17">
      <c r="A17" s="5" t="inlineStr">
        <is>
          <t>SÓTANO</t>
        </is>
      </c>
      <c r="B17" s="5" t="inlineStr">
        <is>
          <t>SOT-14</t>
        </is>
      </c>
      <c r="C17" s="5" t="inlineStr">
        <is>
          <t>Muro de contención de 30cm</t>
        </is>
      </c>
      <c r="D17" s="6" t="n">
        <v>0.3</v>
      </c>
      <c r="E17" s="8" t="n">
        <v>-18.955</v>
      </c>
      <c r="F17" s="8" t="n">
        <v>7.886</v>
      </c>
      <c r="G17" s="8" t="n">
        <v>-11.361</v>
      </c>
      <c r="H17" s="8" t="n">
        <v>7.886</v>
      </c>
      <c r="I17" s="8" t="n">
        <v>7.594</v>
      </c>
      <c r="J17" s="5" t="n">
        <v>0</v>
      </c>
      <c r="K17" s="8" t="n">
        <v>0</v>
      </c>
      <c r="L17" s="8">
        <f>I17-K17</f>
        <v/>
      </c>
      <c r="M17" s="5" t="inlineStr">
        <is>
          <t>General</t>
        </is>
      </c>
      <c r="N17" s="6">
        <f>VLOOKUP(A17&amp;"|"&amp;M17,PARAMETROS!$A$4:$B$9,2,FALSE)</f>
        <v/>
      </c>
      <c r="O17" s="8">
        <f>I17*N17</f>
        <v/>
      </c>
      <c r="P17" s="8">
        <f>K17*PARAMETROS!$B$10</f>
        <v/>
      </c>
      <c r="Q17" s="8">
        <f>O17-P17</f>
        <v/>
      </c>
      <c r="R17" s="5" t="inlineStr">
        <is>
          <t>S-1 CIMENTACION Y DETALLES</t>
        </is>
      </c>
      <c r="S17" s="5" t="inlineStr">
        <is>
          <t>Corrida de blocks colineales; union por columna/mocheta; esquina al muro mas largo</t>
        </is>
      </c>
      <c r="T17" s="5" t="inlineStr"/>
    </row>
    <row r="18">
      <c r="A18" s="5" t="inlineStr">
        <is>
          <t>SÓTANO</t>
        </is>
      </c>
      <c r="B18" s="5" t="inlineStr">
        <is>
          <t>SOT-15</t>
        </is>
      </c>
      <c r="C18" s="5" t="inlineStr">
        <is>
          <t>Muro de contención de 30cm</t>
        </is>
      </c>
      <c r="D18" s="6" t="n">
        <v>0.3</v>
      </c>
      <c r="E18" s="8" t="n">
        <v>-11.611</v>
      </c>
      <c r="F18" s="8" t="n">
        <v>8.685</v>
      </c>
      <c r="G18" s="8" t="n">
        <v>-2.6</v>
      </c>
      <c r="H18" s="8" t="n">
        <v>8.685</v>
      </c>
      <c r="I18" s="8" t="n">
        <v>9.010999999999999</v>
      </c>
      <c r="J18" s="5" t="n">
        <v>0</v>
      </c>
      <c r="K18" s="8" t="n">
        <v>0</v>
      </c>
      <c r="L18" s="8">
        <f>I18-K18</f>
        <v/>
      </c>
      <c r="M18" s="5" t="inlineStr">
        <is>
          <t>General</t>
        </is>
      </c>
      <c r="N18" s="6">
        <f>VLOOKUP(A18&amp;"|"&amp;M18,PARAMETROS!$A$4:$B$9,2,FALSE)</f>
        <v/>
      </c>
      <c r="O18" s="8">
        <f>I18*N18</f>
        <v/>
      </c>
      <c r="P18" s="8">
        <f>K18*PARAMETROS!$B$10</f>
        <v/>
      </c>
      <c r="Q18" s="8">
        <f>O18-P18</f>
        <v/>
      </c>
      <c r="R18" s="5" t="inlineStr">
        <is>
          <t>S-1 CIMENTACION Y DETALLES</t>
        </is>
      </c>
      <c r="S18" s="5" t="inlineStr">
        <is>
          <t>Corrida de blocks colineales; union por columna/mocheta; esquina al muro mas largo</t>
        </is>
      </c>
      <c r="T18" s="5" t="inlineStr"/>
    </row>
    <row r="19">
      <c r="A19" s="5" t="inlineStr">
        <is>
          <t>SÓTANO</t>
        </is>
      </c>
      <c r="B19" s="5" t="inlineStr">
        <is>
          <t>SOT-16</t>
        </is>
      </c>
      <c r="C19" s="5" t="inlineStr">
        <is>
          <t>Muro de contención de 30cm</t>
        </is>
      </c>
      <c r="D19" s="6" t="n">
        <v>0.3</v>
      </c>
      <c r="E19" s="8" t="n">
        <v>-2.6</v>
      </c>
      <c r="F19" s="8" t="n">
        <v>8.685</v>
      </c>
      <c r="G19" s="8" t="n">
        <v>1.81</v>
      </c>
      <c r="H19" s="8" t="n">
        <v>8.685</v>
      </c>
      <c r="I19" s="8" t="n">
        <v>4.41</v>
      </c>
      <c r="J19" s="5" t="n">
        <v>0</v>
      </c>
      <c r="K19" s="8" t="n">
        <v>0</v>
      </c>
      <c r="L19" s="8">
        <f>I19-K19</f>
        <v/>
      </c>
      <c r="M19" s="5" t="inlineStr">
        <is>
          <t>General</t>
        </is>
      </c>
      <c r="N19" s="6">
        <f>VLOOKUP(A19&amp;"|"&amp;M19,PARAMETROS!$A$4:$B$9,2,FALSE)</f>
        <v/>
      </c>
      <c r="O19" s="8">
        <f>I19*N19</f>
        <v/>
      </c>
      <c r="P19" s="8">
        <f>K19*PARAMETROS!$B$10</f>
        <v/>
      </c>
      <c r="Q19" s="8">
        <f>O19-P19</f>
        <v/>
      </c>
      <c r="R19" s="5" t="inlineStr">
        <is>
          <t>S-1 CIMENTACION Y DETALLES</t>
        </is>
      </c>
      <c r="S19" s="5" t="inlineStr">
        <is>
          <t>Corrida de blocks colineales; union por columna/mocheta; esquina al muro mas largo</t>
        </is>
      </c>
      <c r="T19" s="5" t="inlineStr"/>
    </row>
    <row r="20">
      <c r="A20" s="5" t="inlineStr">
        <is>
          <t>SÓTANO</t>
        </is>
      </c>
      <c r="B20" s="5" t="inlineStr">
        <is>
          <t>SOT-17</t>
        </is>
      </c>
      <c r="C20" s="5" t="inlineStr">
        <is>
          <t>Muro de contención de 30cm</t>
        </is>
      </c>
      <c r="D20" s="6" t="n">
        <v>0.3</v>
      </c>
      <c r="E20" s="8" t="n">
        <v>1.81</v>
      </c>
      <c r="F20" s="8" t="n">
        <v>8.685</v>
      </c>
      <c r="G20" s="8" t="n">
        <v>1.889</v>
      </c>
      <c r="H20" s="8" t="n">
        <v>8.685</v>
      </c>
      <c r="I20" s="8" t="n">
        <v>0.079</v>
      </c>
      <c r="J20" s="5" t="n">
        <v>0</v>
      </c>
      <c r="K20" s="8" t="n">
        <v>0</v>
      </c>
      <c r="L20" s="8">
        <f>I20-K20</f>
        <v/>
      </c>
      <c r="M20" s="5" t="inlineStr">
        <is>
          <t>General</t>
        </is>
      </c>
      <c r="N20" s="6">
        <f>VLOOKUP(A20&amp;"|"&amp;M20,PARAMETROS!$A$4:$B$9,2,FALSE)</f>
        <v/>
      </c>
      <c r="O20" s="8">
        <f>I20*N20</f>
        <v/>
      </c>
      <c r="P20" s="8">
        <f>K20*PARAMETROS!$B$10</f>
        <v/>
      </c>
      <c r="Q20" s="8">
        <f>O20-P20</f>
        <v/>
      </c>
      <c r="R20" s="5" t="inlineStr">
        <is>
          <t>S-1 CIMENTACION Y DETALLES</t>
        </is>
      </c>
      <c r="S20" s="5" t="inlineStr">
        <is>
          <t>Corrida de blocks colineales; union por columna/mocheta; esquina al muro mas largo</t>
        </is>
      </c>
      <c r="T20" s="5" t="inlineStr">
        <is>
          <t>Tramo corto: verificar</t>
        </is>
      </c>
    </row>
    <row r="21">
      <c r="A21" s="5" t="inlineStr">
        <is>
          <t>SÓTANO</t>
        </is>
      </c>
      <c r="B21" s="5" t="inlineStr">
        <is>
          <t>SOT-18</t>
        </is>
      </c>
      <c r="C21" s="5" t="inlineStr">
        <is>
          <t>Muro de 15cm</t>
        </is>
      </c>
      <c r="D21" s="6" t="n">
        <v>0.15</v>
      </c>
      <c r="E21" s="8" t="n">
        <v>-12.56</v>
      </c>
      <c r="F21" s="8" t="n">
        <v>-7.342</v>
      </c>
      <c r="G21" s="8" t="n">
        <v>-12.226</v>
      </c>
      <c r="H21" s="8" t="n">
        <v>-6.838</v>
      </c>
      <c r="I21" s="8" t="n">
        <v>0.604</v>
      </c>
      <c r="J21" s="5" t="n">
        <v>0</v>
      </c>
      <c r="K21" s="8" t="n">
        <v>0</v>
      </c>
      <c r="L21" s="8">
        <f>I21-K21</f>
        <v/>
      </c>
      <c r="M21" s="5" t="inlineStr">
        <is>
          <t>General</t>
        </is>
      </c>
      <c r="N21" s="6">
        <f>VLOOKUP(A21&amp;"|"&amp;M21,PARAMETROS!$A$4:$B$9,2,FALSE)</f>
        <v/>
      </c>
      <c r="O21" s="8">
        <f>I21*N21</f>
        <v/>
      </c>
      <c r="P21" s="8">
        <f>K21*PARAMETROS!$B$10</f>
        <v/>
      </c>
      <c r="Q21" s="8">
        <f>O21-P21</f>
        <v/>
      </c>
      <c r="R21" s="5" t="inlineStr">
        <is>
          <t>S-1 CIMENTACION Y DETALLES</t>
        </is>
      </c>
      <c r="S21" s="5" t="inlineStr">
        <is>
          <t>Corrida de blocks colineales; union por columna/mocheta; esquina al muro mas largo</t>
        </is>
      </c>
      <c r="T21" s="5" t="inlineStr"/>
    </row>
    <row r="22">
      <c r="A22" s="5" t="inlineStr">
        <is>
          <t>SÓTANO</t>
        </is>
      </c>
      <c r="B22" s="5" t="inlineStr">
        <is>
          <t>SOT-19</t>
        </is>
      </c>
      <c r="C22" s="5" t="inlineStr">
        <is>
          <t>Muro de contención de 30cm</t>
        </is>
      </c>
      <c r="D22" s="6" t="n">
        <v>0.3</v>
      </c>
      <c r="E22" s="8" t="n">
        <v>-17.703</v>
      </c>
      <c r="F22" s="8" t="n">
        <v>-14.949</v>
      </c>
      <c r="G22" s="8" t="n">
        <v>-10.639</v>
      </c>
      <c r="H22" s="8" t="n">
        <v>-4.316</v>
      </c>
      <c r="I22" s="8" t="n">
        <v>12.765</v>
      </c>
      <c r="J22" s="5" t="n">
        <v>0</v>
      </c>
      <c r="K22" s="8" t="n">
        <v>0</v>
      </c>
      <c r="L22" s="8">
        <f>I22-K22</f>
        <v/>
      </c>
      <c r="M22" s="5" t="inlineStr">
        <is>
          <t>General</t>
        </is>
      </c>
      <c r="N22" s="6">
        <f>VLOOKUP(A22&amp;"|"&amp;M22,PARAMETROS!$A$4:$B$9,2,FALSE)</f>
        <v/>
      </c>
      <c r="O22" s="8">
        <f>I22*N22</f>
        <v/>
      </c>
      <c r="P22" s="8">
        <f>K22*PARAMETROS!$B$10</f>
        <v/>
      </c>
      <c r="Q22" s="8">
        <f>O22-P22</f>
        <v/>
      </c>
      <c r="R22" s="5" t="inlineStr">
        <is>
          <t>S-1 CIMENTACION Y DETALLES</t>
        </is>
      </c>
      <c r="S22" s="5" t="inlineStr">
        <is>
          <t>Corrida de blocks colineales; union por columna/mocheta; esquina al muro mas largo</t>
        </is>
      </c>
      <c r="T22" s="5" t="inlineStr">
        <is>
          <t>3 hueco(s) de columna/mocheta incluidos en la longitud</t>
        </is>
      </c>
    </row>
    <row r="23">
      <c r="A23" s="5" t="inlineStr">
        <is>
          <t>SÓTANO</t>
        </is>
      </c>
      <c r="B23" s="5" t="inlineStr">
        <is>
          <t>SOT-20</t>
        </is>
      </c>
      <c r="C23" s="5" t="inlineStr">
        <is>
          <t>Muro de contención de 30cm</t>
        </is>
      </c>
      <c r="D23" s="6" t="n">
        <v>0.3</v>
      </c>
      <c r="E23" s="8" t="n">
        <v>-29.887</v>
      </c>
      <c r="F23" s="8" t="n">
        <v>-8.298</v>
      </c>
      <c r="G23" s="8" t="n">
        <v>-19.035</v>
      </c>
      <c r="H23" s="8" t="n">
        <v>8.036</v>
      </c>
      <c r="I23" s="8" t="n">
        <v>19.61</v>
      </c>
      <c r="J23" s="5" t="n">
        <v>0</v>
      </c>
      <c r="K23" s="8" t="n">
        <v>0</v>
      </c>
      <c r="L23" s="8">
        <f>I23-K23</f>
        <v/>
      </c>
      <c r="M23" s="5" t="inlineStr">
        <is>
          <t>General</t>
        </is>
      </c>
      <c r="N23" s="6">
        <f>VLOOKUP(A23&amp;"|"&amp;M23,PARAMETROS!$A$4:$B$9,2,FALSE)</f>
        <v/>
      </c>
      <c r="O23" s="8">
        <f>I23*N23</f>
        <v/>
      </c>
      <c r="P23" s="8">
        <f>K23*PARAMETROS!$B$10</f>
        <v/>
      </c>
      <c r="Q23" s="8">
        <f>O23-P23</f>
        <v/>
      </c>
      <c r="R23" s="5" t="inlineStr">
        <is>
          <t>S-1 CIMENTACION Y DETALLES</t>
        </is>
      </c>
      <c r="S23" s="5" t="inlineStr">
        <is>
          <t>Corrida de blocks colineales; union por columna/mocheta; esquina al muro mas largo</t>
        </is>
      </c>
      <c r="T23" s="5" t="inlineStr"/>
    </row>
    <row r="24">
      <c r="A24" s="5" t="inlineStr">
        <is>
          <t>SÓTANO</t>
        </is>
      </c>
      <c r="B24" s="5" t="inlineStr">
        <is>
          <t>SOT-21</t>
        </is>
      </c>
      <c r="C24" s="5" t="inlineStr">
        <is>
          <t>Muro de 15cm</t>
        </is>
      </c>
      <c r="D24" s="6" t="n">
        <v>0.15</v>
      </c>
      <c r="E24" s="8" t="n">
        <v>8.523999999999999</v>
      </c>
      <c r="F24" s="8" t="n">
        <v>-3.4</v>
      </c>
      <c r="G24" s="8" t="n">
        <v>8.601000000000001</v>
      </c>
      <c r="H24" s="8" t="n">
        <v>-3.215</v>
      </c>
      <c r="I24" s="8" t="n">
        <v>0.2</v>
      </c>
      <c r="J24" s="5" t="n">
        <v>0</v>
      </c>
      <c r="K24" s="8" t="n">
        <v>0</v>
      </c>
      <c r="L24" s="8">
        <f>I24-K24</f>
        <v/>
      </c>
      <c r="M24" s="5" t="inlineStr">
        <is>
          <t>General</t>
        </is>
      </c>
      <c r="N24" s="6">
        <f>VLOOKUP(A24&amp;"|"&amp;M24,PARAMETROS!$A$4:$B$9,2,FALSE)</f>
        <v/>
      </c>
      <c r="O24" s="8">
        <f>I24*N24</f>
        <v/>
      </c>
      <c r="P24" s="8">
        <f>K24*PARAMETROS!$B$10</f>
        <v/>
      </c>
      <c r="Q24" s="8">
        <f>O24-P24</f>
        <v/>
      </c>
      <c r="R24" s="5" t="inlineStr">
        <is>
          <t>S-1 CIMENTACION Y DETALLES</t>
        </is>
      </c>
      <c r="S24" s="5" t="inlineStr">
        <is>
          <t>Corrida de blocks colineales; union por columna/mocheta; esquina al muro mas largo</t>
        </is>
      </c>
      <c r="T24" s="5" t="inlineStr">
        <is>
          <t>Tramo corto: verificar</t>
        </is>
      </c>
    </row>
    <row r="25">
      <c r="A25" s="5" t="inlineStr">
        <is>
          <t>SÓTANO</t>
        </is>
      </c>
      <c r="B25" s="5" t="inlineStr">
        <is>
          <t>SOT-22</t>
        </is>
      </c>
      <c r="C25" s="5" t="inlineStr">
        <is>
          <t>Muro de 20cm</t>
        </is>
      </c>
      <c r="D25" s="6" t="n">
        <v>0.2</v>
      </c>
      <c r="E25" s="8" t="n">
        <v>3.526</v>
      </c>
      <c r="F25" s="8" t="n">
        <v>1.308</v>
      </c>
      <c r="G25" s="8" t="n">
        <v>6.266</v>
      </c>
      <c r="H25" s="8" t="n">
        <v>7.878</v>
      </c>
      <c r="I25" s="8" t="n">
        <v>7.118</v>
      </c>
      <c r="J25" s="5" t="n">
        <v>0</v>
      </c>
      <c r="K25" s="8" t="n">
        <v>0</v>
      </c>
      <c r="L25" s="8">
        <f>I25-K25</f>
        <v/>
      </c>
      <c r="M25" s="5" t="inlineStr">
        <is>
          <t>General</t>
        </is>
      </c>
      <c r="N25" s="6">
        <f>VLOOKUP(A25&amp;"|"&amp;M25,PARAMETROS!$A$4:$B$9,2,FALSE)</f>
        <v/>
      </c>
      <c r="O25" s="8">
        <f>I25*N25</f>
        <v/>
      </c>
      <c r="P25" s="8">
        <f>K25*PARAMETROS!$B$10</f>
        <v/>
      </c>
      <c r="Q25" s="8">
        <f>O25-P25</f>
        <v/>
      </c>
      <c r="R25" s="5" t="inlineStr">
        <is>
          <t>S-1 CIMENTACION Y DETALLES</t>
        </is>
      </c>
      <c r="S25" s="5" t="inlineStr">
        <is>
          <t>Corrida de blocks colineales; union por columna/mocheta; esquina al muro mas largo</t>
        </is>
      </c>
      <c r="T25" s="5" t="inlineStr">
        <is>
          <t>2 hueco(s) de columna/mocheta incluidos en la longitud</t>
        </is>
      </c>
    </row>
    <row r="26">
      <c r="A26" s="5" t="inlineStr">
        <is>
          <t>SÓTANO</t>
        </is>
      </c>
      <c r="B26" s="5" t="inlineStr">
        <is>
          <t>SOT-23</t>
        </is>
      </c>
      <c r="C26" s="5" t="inlineStr">
        <is>
          <t>Muro de contención de 30cm</t>
        </is>
      </c>
      <c r="D26" s="6" t="n">
        <v>0.3</v>
      </c>
      <c r="E26" s="8" t="n">
        <v>7.4</v>
      </c>
      <c r="F26" s="8" t="n">
        <v>-5.9</v>
      </c>
      <c r="G26" s="8" t="n">
        <v>12.127</v>
      </c>
      <c r="H26" s="8" t="n">
        <v>5.434</v>
      </c>
      <c r="I26" s="8" t="n">
        <v>12.28</v>
      </c>
      <c r="J26" s="5" t="n">
        <v>0</v>
      </c>
      <c r="K26" s="8" t="n">
        <v>0</v>
      </c>
      <c r="L26" s="8">
        <f>I26-K26</f>
        <v/>
      </c>
      <c r="M26" s="5" t="inlineStr">
        <is>
          <t>General</t>
        </is>
      </c>
      <c r="N26" s="6">
        <f>VLOOKUP(A26&amp;"|"&amp;M26,PARAMETROS!$A$4:$B$9,2,FALSE)</f>
        <v/>
      </c>
      <c r="O26" s="8">
        <f>I26*N26</f>
        <v/>
      </c>
      <c r="P26" s="8">
        <f>K26*PARAMETROS!$B$10</f>
        <v/>
      </c>
      <c r="Q26" s="8">
        <f>O26-P26</f>
        <v/>
      </c>
      <c r="R26" s="5" t="inlineStr">
        <is>
          <t>S-1 CIMENTACION Y DETALLES</t>
        </is>
      </c>
      <c r="S26" s="5" t="inlineStr">
        <is>
          <t>Corrida de blocks colineales; union por columna/mocheta; esquina al muro mas largo</t>
        </is>
      </c>
      <c r="T26" s="5" t="inlineStr">
        <is>
          <t>3 hueco(s) de columna/mocheta incluidos en la longitud</t>
        </is>
      </c>
    </row>
    <row r="27">
      <c r="A27" s="5" t="inlineStr">
        <is>
          <t>SÓTANO</t>
        </is>
      </c>
      <c r="B27" s="5" t="inlineStr">
        <is>
          <t>SOT-24</t>
        </is>
      </c>
      <c r="C27" s="5" t="inlineStr">
        <is>
          <t>Muro de 15cm</t>
        </is>
      </c>
      <c r="D27" s="6" t="n">
        <v>0.15</v>
      </c>
      <c r="E27" s="8" t="n">
        <v>-23.849</v>
      </c>
      <c r="F27" s="8" t="n">
        <v>-9.484999999999999</v>
      </c>
      <c r="G27" s="8" t="n">
        <v>-23.501</v>
      </c>
      <c r="H27" s="8" t="n">
        <v>-8.077</v>
      </c>
      <c r="I27" s="8" t="n">
        <v>1.45</v>
      </c>
      <c r="J27" s="5" t="n">
        <v>0</v>
      </c>
      <c r="K27" s="8" t="n">
        <v>0</v>
      </c>
      <c r="L27" s="8">
        <f>I27-K27</f>
        <v/>
      </c>
      <c r="M27" s="5" t="inlineStr">
        <is>
          <t>General</t>
        </is>
      </c>
      <c r="N27" s="6">
        <f>VLOOKUP(A27&amp;"|"&amp;M27,PARAMETROS!$A$4:$B$9,2,FALSE)</f>
        <v/>
      </c>
      <c r="O27" s="8">
        <f>I27*N27</f>
        <v/>
      </c>
      <c r="P27" s="8">
        <f>K27*PARAMETROS!$B$10</f>
        <v/>
      </c>
      <c r="Q27" s="8">
        <f>O27-P27</f>
        <v/>
      </c>
      <c r="R27" s="5" t="inlineStr">
        <is>
          <t>S-1 CIMENTACION Y DETALLES</t>
        </is>
      </c>
      <c r="S27" s="5" t="inlineStr">
        <is>
          <t>Corrida de blocks colineales; union por columna/mocheta; esquina al muro mas largo</t>
        </is>
      </c>
      <c r="T27" s="5" t="inlineStr"/>
    </row>
    <row r="28">
      <c r="A28" s="5" t="inlineStr">
        <is>
          <t>SÓTANO</t>
        </is>
      </c>
      <c r="B28" s="5" t="inlineStr">
        <is>
          <t>SOT-25</t>
        </is>
      </c>
      <c r="C28" s="5" t="inlineStr">
        <is>
          <t>Muro de 15cm</t>
        </is>
      </c>
      <c r="D28" s="6" t="n">
        <v>0.15</v>
      </c>
      <c r="E28" s="8" t="n">
        <v>-26.81</v>
      </c>
      <c r="F28" s="8" t="n">
        <v>-8.750999999999999</v>
      </c>
      <c r="G28" s="8" t="n">
        <v>-26.45</v>
      </c>
      <c r="H28" s="8" t="n">
        <v>-7.3</v>
      </c>
      <c r="I28" s="8" t="n">
        <v>1.495</v>
      </c>
      <c r="J28" s="5" t="n">
        <v>0</v>
      </c>
      <c r="K28" s="8" t="n">
        <v>0</v>
      </c>
      <c r="L28" s="8">
        <f>I28-K28</f>
        <v/>
      </c>
      <c r="M28" s="5" t="inlineStr">
        <is>
          <t>General</t>
        </is>
      </c>
      <c r="N28" s="6">
        <f>VLOOKUP(A28&amp;"|"&amp;M28,PARAMETROS!$A$4:$B$9,2,FALSE)</f>
        <v/>
      </c>
      <c r="O28" s="8">
        <f>I28*N28</f>
        <v/>
      </c>
      <c r="P28" s="8">
        <f>K28*PARAMETROS!$B$10</f>
        <v/>
      </c>
      <c r="Q28" s="8">
        <f>O28-P28</f>
        <v/>
      </c>
      <c r="R28" s="5" t="inlineStr">
        <is>
          <t>S-1 CIMENTACION Y DETALLES</t>
        </is>
      </c>
      <c r="S28" s="5" t="inlineStr">
        <is>
          <t>Corrida de blocks colineales; union por columna/mocheta; esquina al muro mas largo</t>
        </is>
      </c>
      <c r="T28" s="5" t="inlineStr"/>
    </row>
    <row r="29">
      <c r="A29" s="5" t="inlineStr">
        <is>
          <t>SÓTANO</t>
        </is>
      </c>
      <c r="B29" s="5" t="inlineStr">
        <is>
          <t>SOT-26</t>
        </is>
      </c>
      <c r="C29" s="5" t="inlineStr">
        <is>
          <t>Muro de contención de 30cm</t>
        </is>
      </c>
      <c r="D29" s="6" t="n">
        <v>0.3</v>
      </c>
      <c r="E29" s="8" t="n">
        <v>-18.041</v>
      </c>
      <c r="F29" s="8" t="n">
        <v>-16.934</v>
      </c>
      <c r="G29" s="8" t="n">
        <v>-17.463</v>
      </c>
      <c r="H29" s="8" t="n">
        <v>-14.604</v>
      </c>
      <c r="I29" s="8" t="n">
        <v>2.4</v>
      </c>
      <c r="J29" s="5" t="n">
        <v>0</v>
      </c>
      <c r="K29" s="8" t="n">
        <v>0</v>
      </c>
      <c r="L29" s="8">
        <f>I29-K29</f>
        <v/>
      </c>
      <c r="M29" s="5" t="inlineStr">
        <is>
          <t>General</t>
        </is>
      </c>
      <c r="N29" s="6">
        <f>VLOOKUP(A29&amp;"|"&amp;M29,PARAMETROS!$A$4:$B$9,2,FALSE)</f>
        <v/>
      </c>
      <c r="O29" s="8">
        <f>I29*N29</f>
        <v/>
      </c>
      <c r="P29" s="8">
        <f>K29*PARAMETROS!$B$10</f>
        <v/>
      </c>
      <c r="Q29" s="8">
        <f>O29-P29</f>
        <v/>
      </c>
      <c r="R29" s="5" t="inlineStr">
        <is>
          <t>S-1 CIMENTACION Y DETALLES</t>
        </is>
      </c>
      <c r="S29" s="5" t="inlineStr">
        <is>
          <t>Corrida de blocks colineales; union por columna/mocheta; esquina al muro mas largo</t>
        </is>
      </c>
      <c r="T29" s="5" t="inlineStr"/>
    </row>
    <row r="30">
      <c r="A30" s="5" t="inlineStr">
        <is>
          <t>SÓTANO</t>
        </is>
      </c>
      <c r="B30" s="5" t="inlineStr">
        <is>
          <t>SOT-27</t>
        </is>
      </c>
      <c r="C30" s="5" t="inlineStr">
        <is>
          <t>Muro de 10cm</t>
        </is>
      </c>
      <c r="D30" s="6" t="n">
        <v>0.1</v>
      </c>
      <c r="E30" s="8" t="n">
        <v>1.539</v>
      </c>
      <c r="F30" s="8" t="n">
        <v>-3.464</v>
      </c>
      <c r="G30" s="8" t="n">
        <v>1.539</v>
      </c>
      <c r="H30" s="8" t="n">
        <v>-0.514</v>
      </c>
      <c r="I30" s="8" t="n">
        <v>2.95</v>
      </c>
      <c r="J30" s="5" t="n">
        <v>0</v>
      </c>
      <c r="K30" s="8" t="n">
        <v>0</v>
      </c>
      <c r="L30" s="8">
        <f>I30-K30</f>
        <v/>
      </c>
      <c r="M30" s="5" t="inlineStr">
        <is>
          <t>General</t>
        </is>
      </c>
      <c r="N30" s="6">
        <f>VLOOKUP(A30&amp;"|"&amp;M30,PARAMETROS!$A$4:$B$9,2,FALSE)</f>
        <v/>
      </c>
      <c r="O30" s="8">
        <f>I30*N30</f>
        <v/>
      </c>
      <c r="P30" s="8">
        <f>K30*PARAMETROS!$B$10</f>
        <v/>
      </c>
      <c r="Q30" s="8">
        <f>O30-P30</f>
        <v/>
      </c>
      <c r="R30" s="5" t="inlineStr">
        <is>
          <t>S-1 CIMENTACION Y DETALLES</t>
        </is>
      </c>
      <c r="S30" s="5" t="inlineStr">
        <is>
          <t>Corrida de blocks colineales; union por columna/mocheta; esquina al muro mas largo</t>
        </is>
      </c>
      <c r="T30" s="5" t="inlineStr"/>
    </row>
    <row r="31">
      <c r="A31" s="5" t="inlineStr">
        <is>
          <t>SÓTANO</t>
        </is>
      </c>
      <c r="B31" s="5" t="inlineStr">
        <is>
          <t>SOT-28</t>
        </is>
      </c>
      <c r="C31" s="5" t="inlineStr">
        <is>
          <t>Muro de 10cm</t>
        </is>
      </c>
      <c r="D31" s="6" t="n">
        <v>0.1</v>
      </c>
      <c r="E31" s="8" t="n">
        <v>-2.407</v>
      </c>
      <c r="F31" s="8" t="n">
        <v>-3.464</v>
      </c>
      <c r="G31" s="8" t="n">
        <v>-2.407</v>
      </c>
      <c r="H31" s="8" t="n">
        <v>-0.664</v>
      </c>
      <c r="I31" s="8" t="n">
        <v>2.8</v>
      </c>
      <c r="J31" s="5" t="n">
        <v>0</v>
      </c>
      <c r="K31" s="8" t="n">
        <v>0</v>
      </c>
      <c r="L31" s="8">
        <f>I31-K31</f>
        <v/>
      </c>
      <c r="M31" s="5" t="inlineStr">
        <is>
          <t>General</t>
        </is>
      </c>
      <c r="N31" s="6">
        <f>VLOOKUP(A31&amp;"|"&amp;M31,PARAMETROS!$A$4:$B$9,2,FALSE)</f>
        <v/>
      </c>
      <c r="O31" s="8">
        <f>I31*N31</f>
        <v/>
      </c>
      <c r="P31" s="8">
        <f>K31*PARAMETROS!$B$10</f>
        <v/>
      </c>
      <c r="Q31" s="8">
        <f>O31-P31</f>
        <v/>
      </c>
      <c r="R31" s="5" t="inlineStr">
        <is>
          <t>S-1 CIMENTACION Y DETALLES</t>
        </is>
      </c>
      <c r="S31" s="5" t="inlineStr">
        <is>
          <t>Corrida de blocks colineales; union por columna/mocheta; esquina al muro mas largo</t>
        </is>
      </c>
      <c r="T31" s="5" t="inlineStr">
        <is>
          <t>1 hueco(s) de columna/mocheta incluidos en la longitud</t>
        </is>
      </c>
    </row>
    <row r="32">
      <c r="A32" s="5" t="inlineStr">
        <is>
          <t>SÓTANO</t>
        </is>
      </c>
      <c r="B32" s="5" t="inlineStr">
        <is>
          <t>SOT-29</t>
        </is>
      </c>
      <c r="C32" s="5" t="inlineStr">
        <is>
          <t>Muro de 10cm</t>
        </is>
      </c>
      <c r="D32" s="6" t="n">
        <v>0.1</v>
      </c>
      <c r="E32" s="8" t="n">
        <v>-9.108000000000001</v>
      </c>
      <c r="F32" s="8" t="n">
        <v>-3.464</v>
      </c>
      <c r="G32" s="8" t="n">
        <v>-9.108000000000001</v>
      </c>
      <c r="H32" s="8" t="n">
        <v>-2.84</v>
      </c>
      <c r="I32" s="8" t="n">
        <v>0.624</v>
      </c>
      <c r="J32" s="5" t="n">
        <v>0</v>
      </c>
      <c r="K32" s="8" t="n">
        <v>0</v>
      </c>
      <c r="L32" s="8">
        <f>I32-K32</f>
        <v/>
      </c>
      <c r="M32" s="5" t="inlineStr">
        <is>
          <t>General</t>
        </is>
      </c>
      <c r="N32" s="6">
        <f>VLOOKUP(A32&amp;"|"&amp;M32,PARAMETROS!$A$4:$B$9,2,FALSE)</f>
        <v/>
      </c>
      <c r="O32" s="8">
        <f>I32*N32</f>
        <v/>
      </c>
      <c r="P32" s="8">
        <f>K32*PARAMETROS!$B$10</f>
        <v/>
      </c>
      <c r="Q32" s="8">
        <f>O32-P32</f>
        <v/>
      </c>
      <c r="R32" s="5" t="inlineStr">
        <is>
          <t>S-1 CIMENTACION Y DETALLES</t>
        </is>
      </c>
      <c r="S32" s="5" t="inlineStr">
        <is>
          <t>Corrida de blocks colineales; union por columna/mocheta; esquina al muro mas largo</t>
        </is>
      </c>
      <c r="T32" s="5" t="inlineStr"/>
    </row>
    <row r="33">
      <c r="A33" s="5" t="inlineStr">
        <is>
          <t>SÓTANO</t>
        </is>
      </c>
      <c r="B33" s="5" t="inlineStr">
        <is>
          <t>SOT-30</t>
        </is>
      </c>
      <c r="C33" s="5" t="inlineStr">
        <is>
          <t>Muro de 10cm</t>
        </is>
      </c>
      <c r="D33" s="6" t="n">
        <v>0.1</v>
      </c>
      <c r="E33" s="8" t="n">
        <v>-10.713</v>
      </c>
      <c r="F33" s="8" t="n">
        <v>-4.156</v>
      </c>
      <c r="G33" s="8" t="n">
        <v>-10.713</v>
      </c>
      <c r="H33" s="8" t="n">
        <v>-2.564</v>
      </c>
      <c r="I33" s="8" t="n">
        <v>1.593</v>
      </c>
      <c r="J33" s="5" t="n">
        <v>0</v>
      </c>
      <c r="K33" s="8" t="n">
        <v>0</v>
      </c>
      <c r="L33" s="8">
        <f>I33-K33</f>
        <v/>
      </c>
      <c r="M33" s="5" t="inlineStr">
        <is>
          <t>General</t>
        </is>
      </c>
      <c r="N33" s="6">
        <f>VLOOKUP(A33&amp;"|"&amp;M33,PARAMETROS!$A$4:$B$9,2,FALSE)</f>
        <v/>
      </c>
      <c r="O33" s="8">
        <f>I33*N33</f>
        <v/>
      </c>
      <c r="P33" s="8">
        <f>K33*PARAMETROS!$B$10</f>
        <v/>
      </c>
      <c r="Q33" s="8">
        <f>O33-P33</f>
        <v/>
      </c>
      <c r="R33" s="5" t="inlineStr">
        <is>
          <t>S-1 CIMENTACION Y DETALLES</t>
        </is>
      </c>
      <c r="S33" s="5" t="inlineStr">
        <is>
          <t>Corrida de blocks colineales; union por columna/mocheta; esquina al muro mas largo</t>
        </is>
      </c>
      <c r="T33" s="5" t="inlineStr"/>
    </row>
    <row r="34">
      <c r="A34" s="5" t="inlineStr">
        <is>
          <t>SÓTANO</t>
        </is>
      </c>
      <c r="B34" s="5" t="inlineStr">
        <is>
          <t>SOT-31</t>
        </is>
      </c>
      <c r="C34" s="5" t="inlineStr">
        <is>
          <t>Muro de 15cm</t>
        </is>
      </c>
      <c r="D34" s="6" t="n">
        <v>0.15</v>
      </c>
      <c r="E34" s="8" t="n">
        <v>-2.687</v>
      </c>
      <c r="F34" s="8" t="n">
        <v>-3.464</v>
      </c>
      <c r="G34" s="8" t="n">
        <v>-2.687</v>
      </c>
      <c r="H34" s="8" t="n">
        <v>-0.664</v>
      </c>
      <c r="I34" s="8" t="n">
        <v>2.8</v>
      </c>
      <c r="J34" s="5" t="n">
        <v>0</v>
      </c>
      <c r="K34" s="8" t="n">
        <v>0</v>
      </c>
      <c r="L34" s="8">
        <f>I34-K34</f>
        <v/>
      </c>
      <c r="M34" s="5" t="inlineStr">
        <is>
          <t>General</t>
        </is>
      </c>
      <c r="N34" s="6">
        <f>VLOOKUP(A34&amp;"|"&amp;M34,PARAMETROS!$A$4:$B$9,2,FALSE)</f>
        <v/>
      </c>
      <c r="O34" s="8">
        <f>I34*N34</f>
        <v/>
      </c>
      <c r="P34" s="8">
        <f>K34*PARAMETROS!$B$10</f>
        <v/>
      </c>
      <c r="Q34" s="8">
        <f>O34-P34</f>
        <v/>
      </c>
      <c r="R34" s="5" t="inlineStr">
        <is>
          <t>S-1 CIMENTACION Y DETALLES</t>
        </is>
      </c>
      <c r="S34" s="5" t="inlineStr">
        <is>
          <t>Corrida de blocks colineales; union por columna/mocheta; esquina al muro mas largo</t>
        </is>
      </c>
      <c r="T34" s="5" t="inlineStr">
        <is>
          <t>1 hueco(s) de columna/mocheta incluidos en la longitud</t>
        </is>
      </c>
    </row>
    <row r="35">
      <c r="A35" s="5" t="inlineStr">
        <is>
          <t>SÓTANO</t>
        </is>
      </c>
      <c r="B35" s="5" t="inlineStr">
        <is>
          <t>SOT-32</t>
        </is>
      </c>
      <c r="C35" s="5" t="inlineStr">
        <is>
          <t>Muro de 15cm</t>
        </is>
      </c>
      <c r="D35" s="6" t="n">
        <v>0.15</v>
      </c>
      <c r="E35" s="8" t="n">
        <v>-5.038</v>
      </c>
      <c r="F35" s="8" t="n">
        <v>-3.464</v>
      </c>
      <c r="G35" s="8" t="n">
        <v>-5.038</v>
      </c>
      <c r="H35" s="8" t="n">
        <v>-0.664</v>
      </c>
      <c r="I35" s="8" t="n">
        <v>2.8</v>
      </c>
      <c r="J35" s="5" t="n">
        <v>0</v>
      </c>
      <c r="K35" s="8" t="n">
        <v>0</v>
      </c>
      <c r="L35" s="8">
        <f>I35-K35</f>
        <v/>
      </c>
      <c r="M35" s="5" t="inlineStr">
        <is>
          <t>General</t>
        </is>
      </c>
      <c r="N35" s="6">
        <f>VLOOKUP(A35&amp;"|"&amp;M35,PARAMETROS!$A$4:$B$9,2,FALSE)</f>
        <v/>
      </c>
      <c r="O35" s="8">
        <f>I35*N35</f>
        <v/>
      </c>
      <c r="P35" s="8">
        <f>K35*PARAMETROS!$B$10</f>
        <v/>
      </c>
      <c r="Q35" s="8">
        <f>O35-P35</f>
        <v/>
      </c>
      <c r="R35" s="5" t="inlineStr">
        <is>
          <t>S-1 CIMENTACION Y DETALLES</t>
        </is>
      </c>
      <c r="S35" s="5" t="inlineStr">
        <is>
          <t>Corrida de blocks colineales; union por columna/mocheta; esquina al muro mas largo</t>
        </is>
      </c>
      <c r="T35" s="5" t="inlineStr"/>
    </row>
    <row r="36">
      <c r="A36" s="5" t="inlineStr">
        <is>
          <t>SÓTANO</t>
        </is>
      </c>
      <c r="B36" s="5" t="inlineStr">
        <is>
          <t>SOT-33</t>
        </is>
      </c>
      <c r="C36" s="5" t="inlineStr">
        <is>
          <t>Muro de 15cm</t>
        </is>
      </c>
      <c r="D36" s="6" t="n">
        <v>0.15</v>
      </c>
      <c r="E36" s="8" t="n">
        <v>-10.688</v>
      </c>
      <c r="F36" s="8" t="n">
        <v>0.428</v>
      </c>
      <c r="G36" s="8" t="n">
        <v>-10.688</v>
      </c>
      <c r="H36" s="8" t="n">
        <v>1.083</v>
      </c>
      <c r="I36" s="8" t="n">
        <v>0.655</v>
      </c>
      <c r="J36" s="5" t="n">
        <v>0</v>
      </c>
      <c r="K36" s="8" t="n">
        <v>0</v>
      </c>
      <c r="L36" s="8">
        <f>I36-K36</f>
        <v/>
      </c>
      <c r="M36" s="5" t="inlineStr">
        <is>
          <t>General</t>
        </is>
      </c>
      <c r="N36" s="6">
        <f>VLOOKUP(A36&amp;"|"&amp;M36,PARAMETROS!$A$4:$B$9,2,FALSE)</f>
        <v/>
      </c>
      <c r="O36" s="8">
        <f>I36*N36</f>
        <v/>
      </c>
      <c r="P36" s="8">
        <f>K36*PARAMETROS!$B$10</f>
        <v/>
      </c>
      <c r="Q36" s="8">
        <f>O36-P36</f>
        <v/>
      </c>
      <c r="R36" s="5" t="inlineStr">
        <is>
          <t>S-1 CIMENTACION Y DETALLES</t>
        </is>
      </c>
      <c r="S36" s="5" t="inlineStr">
        <is>
          <t>Corrida de blocks colineales; union por columna/mocheta; esquina al muro mas largo</t>
        </is>
      </c>
      <c r="T36" s="5" t="inlineStr"/>
    </row>
    <row r="37">
      <c r="A37" s="5" t="inlineStr">
        <is>
          <t>SÓTANO</t>
        </is>
      </c>
      <c r="B37" s="5" t="inlineStr">
        <is>
          <t>SOT-34</t>
        </is>
      </c>
      <c r="C37" s="5" t="inlineStr">
        <is>
          <t>Muro de 15cm</t>
        </is>
      </c>
      <c r="D37" s="6" t="n">
        <v>0.15</v>
      </c>
      <c r="E37" s="8" t="n">
        <v>-11.436</v>
      </c>
      <c r="F37" s="8" t="n">
        <v>1.233</v>
      </c>
      <c r="G37" s="8" t="n">
        <v>-11.436</v>
      </c>
      <c r="H37" s="8" t="n">
        <v>7.735</v>
      </c>
      <c r="I37" s="8" t="n">
        <v>6.502</v>
      </c>
      <c r="J37" s="5" t="n">
        <v>0</v>
      </c>
      <c r="K37" s="8" t="n">
        <v>0</v>
      </c>
      <c r="L37" s="8">
        <f>I37-K37</f>
        <v/>
      </c>
      <c r="M37" s="5" t="inlineStr">
        <is>
          <t>General</t>
        </is>
      </c>
      <c r="N37" s="6">
        <f>VLOOKUP(A37&amp;"|"&amp;M37,PARAMETROS!$A$4:$B$9,2,FALSE)</f>
        <v/>
      </c>
      <c r="O37" s="8">
        <f>I37*N37</f>
        <v/>
      </c>
      <c r="P37" s="8">
        <f>K37*PARAMETROS!$B$10</f>
        <v/>
      </c>
      <c r="Q37" s="8">
        <f>O37-P37</f>
        <v/>
      </c>
      <c r="R37" s="5" t="inlineStr">
        <is>
          <t>S-1 CIMENTACION Y DETALLES</t>
        </is>
      </c>
      <c r="S37" s="5" t="inlineStr">
        <is>
          <t>Corrida de blocks colineales; union por columna/mocheta; esquina al muro mas largo</t>
        </is>
      </c>
      <c r="T37" s="5" t="inlineStr"/>
    </row>
    <row r="38">
      <c r="A38" s="5" t="inlineStr">
        <is>
          <t>SÓTANO</t>
        </is>
      </c>
      <c r="B38" s="5" t="inlineStr">
        <is>
          <t>SOT-35</t>
        </is>
      </c>
      <c r="C38" s="5" t="inlineStr">
        <is>
          <t>Muro de 15cm</t>
        </is>
      </c>
      <c r="D38" s="6" t="n">
        <v>0.15</v>
      </c>
      <c r="E38" s="8" t="n">
        <v>-16.426</v>
      </c>
      <c r="F38" s="8" t="n">
        <v>5.939</v>
      </c>
      <c r="G38" s="8" t="n">
        <v>-16.426</v>
      </c>
      <c r="H38" s="8" t="n">
        <v>7.736</v>
      </c>
      <c r="I38" s="8" t="n">
        <v>1.797</v>
      </c>
      <c r="J38" s="5" t="n">
        <v>0</v>
      </c>
      <c r="K38" s="8" t="n">
        <v>0</v>
      </c>
      <c r="L38" s="8">
        <f>I38-K38</f>
        <v/>
      </c>
      <c r="M38" s="5" t="inlineStr">
        <is>
          <t>General</t>
        </is>
      </c>
      <c r="N38" s="6">
        <f>VLOOKUP(A38&amp;"|"&amp;M38,PARAMETROS!$A$4:$B$9,2,FALSE)</f>
        <v/>
      </c>
      <c r="O38" s="8">
        <f>I38*N38</f>
        <v/>
      </c>
      <c r="P38" s="8">
        <f>K38*PARAMETROS!$B$10</f>
        <v/>
      </c>
      <c r="Q38" s="8">
        <f>O38-P38</f>
        <v/>
      </c>
      <c r="R38" s="5" t="inlineStr">
        <is>
          <t>S-1 CIMENTACION Y DETALLES</t>
        </is>
      </c>
      <c r="S38" s="5" t="inlineStr">
        <is>
          <t>Corrida de blocks colineales; union por columna/mocheta; esquina al muro mas largo</t>
        </is>
      </c>
      <c r="T38" s="5" t="inlineStr"/>
    </row>
    <row r="39">
      <c r="A39" s="5" t="inlineStr">
        <is>
          <t>SÓTANO</t>
        </is>
      </c>
      <c r="B39" s="5" t="inlineStr">
        <is>
          <t>SOT-36</t>
        </is>
      </c>
      <c r="C39" s="5" t="inlineStr">
        <is>
          <t>Muro de 20cm</t>
        </is>
      </c>
      <c r="D39" s="6" t="n">
        <v>0.2</v>
      </c>
      <c r="E39" s="8" t="n">
        <v>1.989</v>
      </c>
      <c r="F39" s="8" t="n">
        <v>-3.564</v>
      </c>
      <c r="G39" s="8" t="n">
        <v>1.989</v>
      </c>
      <c r="H39" s="8" t="n">
        <v>1.526</v>
      </c>
      <c r="I39" s="8" t="n">
        <v>5.09</v>
      </c>
      <c r="J39" s="5" t="n">
        <v>0</v>
      </c>
      <c r="K39" s="8" t="n">
        <v>0</v>
      </c>
      <c r="L39" s="8">
        <f>I39-K39</f>
        <v/>
      </c>
      <c r="M39" s="5" t="inlineStr">
        <is>
          <t>General</t>
        </is>
      </c>
      <c r="N39" s="6">
        <f>VLOOKUP(A39&amp;"|"&amp;M39,PARAMETROS!$A$4:$B$9,2,FALSE)</f>
        <v/>
      </c>
      <c r="O39" s="8">
        <f>I39*N39</f>
        <v/>
      </c>
      <c r="P39" s="8">
        <f>K39*PARAMETROS!$B$10</f>
        <v/>
      </c>
      <c r="Q39" s="8">
        <f>O39-P39</f>
        <v/>
      </c>
      <c r="R39" s="5" t="inlineStr">
        <is>
          <t>S-1 CIMENTACION Y DETALLES</t>
        </is>
      </c>
      <c r="S39" s="5" t="inlineStr">
        <is>
          <t>Corrida de blocks colineales; union por columna/mocheta; esquina al muro mas largo</t>
        </is>
      </c>
      <c r="T39" s="5" t="inlineStr"/>
    </row>
    <row r="40">
      <c r="A40" s="5" t="inlineStr">
        <is>
          <t>SÓTANO</t>
        </is>
      </c>
      <c r="B40" s="5" t="inlineStr">
        <is>
          <t>SOT-37</t>
        </is>
      </c>
      <c r="C40" s="5" t="inlineStr">
        <is>
          <t>Muro de 20cm</t>
        </is>
      </c>
      <c r="D40" s="6" t="n">
        <v>0.2</v>
      </c>
      <c r="E40" s="8" t="n">
        <v>1.789</v>
      </c>
      <c r="F40" s="8" t="n">
        <v>1.233</v>
      </c>
      <c r="G40" s="8" t="n">
        <v>1.789</v>
      </c>
      <c r="H40" s="8" t="n">
        <v>7.522</v>
      </c>
      <c r="I40" s="8" t="n">
        <v>6.289</v>
      </c>
      <c r="J40" s="5" t="n">
        <v>0</v>
      </c>
      <c r="K40" s="8" t="n">
        <v>0</v>
      </c>
      <c r="L40" s="8">
        <f>I40-K40</f>
        <v/>
      </c>
      <c r="M40" s="5" t="inlineStr">
        <is>
          <t>Bajo losa NPT 0.00 (ejes 5-6, A-C)</t>
        </is>
      </c>
      <c r="N40" s="6">
        <f>VLOOKUP(A40&amp;"|"&amp;M40,PARAMETROS!$A$4:$B$9,2,FALSE)</f>
        <v/>
      </c>
      <c r="O40" s="8">
        <f>I40*N40</f>
        <v/>
      </c>
      <c r="P40" s="8">
        <f>K40*PARAMETROS!$B$10</f>
        <v/>
      </c>
      <c r="Q40" s="8">
        <f>O40-P40</f>
        <v/>
      </c>
      <c r="R40" s="5" t="inlineStr">
        <is>
          <t>S-1 CIMENTACION Y DETALLES</t>
        </is>
      </c>
      <c r="S40" s="5" t="inlineStr">
        <is>
          <t>Corrida de blocks colineales; union por columna/mocheta; esquina al muro mas largo</t>
        </is>
      </c>
      <c r="T40" s="5" t="inlineStr"/>
    </row>
    <row r="41">
      <c r="A41" s="5" t="inlineStr">
        <is>
          <t>SÓTANO</t>
        </is>
      </c>
      <c r="B41" s="5" t="inlineStr">
        <is>
          <t>SOT-38</t>
        </is>
      </c>
      <c r="C41" s="5" t="inlineStr">
        <is>
          <t>Muro de contención de 30cm</t>
        </is>
      </c>
      <c r="D41" s="6" t="n">
        <v>0.3</v>
      </c>
      <c r="E41" s="8" t="n">
        <v>1.739</v>
      </c>
      <c r="F41" s="8" t="n">
        <v>7.885</v>
      </c>
      <c r="G41" s="8" t="n">
        <v>1.739</v>
      </c>
      <c r="H41" s="8" t="n">
        <v>8.676</v>
      </c>
      <c r="I41" s="8" t="n">
        <v>0.791</v>
      </c>
      <c r="J41" s="5" t="n">
        <v>0</v>
      </c>
      <c r="K41" s="8" t="n">
        <v>0</v>
      </c>
      <c r="L41" s="8">
        <f>I41-K41</f>
        <v/>
      </c>
      <c r="M41" s="5" t="inlineStr">
        <is>
          <t>General</t>
        </is>
      </c>
      <c r="N41" s="6">
        <f>VLOOKUP(A41&amp;"|"&amp;M41,PARAMETROS!$A$4:$B$9,2,FALSE)</f>
        <v/>
      </c>
      <c r="O41" s="8">
        <f>I41*N41</f>
        <v/>
      </c>
      <c r="P41" s="8">
        <f>K41*PARAMETROS!$B$10</f>
        <v/>
      </c>
      <c r="Q41" s="8">
        <f>O41-P41</f>
        <v/>
      </c>
      <c r="R41" s="5" t="inlineStr">
        <is>
          <t>S-1 CIMENTACION Y DETALLES</t>
        </is>
      </c>
      <c r="S41" s="5" t="inlineStr">
        <is>
          <t>Corrida de blocks colineales; union por columna/mocheta; esquina al muro mas largo</t>
        </is>
      </c>
      <c r="T41" s="5" t="inlineStr"/>
    </row>
    <row r="42">
      <c r="A42" s="5" t="inlineStr">
        <is>
          <t>SÓTANO</t>
        </is>
      </c>
      <c r="B42" s="5" t="inlineStr">
        <is>
          <t>SOT-39</t>
        </is>
      </c>
      <c r="C42" s="5" t="inlineStr">
        <is>
          <t>Muro de 20cm</t>
        </is>
      </c>
      <c r="D42" s="6" t="n">
        <v>0.2</v>
      </c>
      <c r="E42" s="8" t="n">
        <v>-19.594</v>
      </c>
      <c r="F42" s="8" t="n">
        <v>-2.089</v>
      </c>
      <c r="G42" s="8" t="n">
        <v>-21.494</v>
      </c>
      <c r="H42" s="8" t="n">
        <v>-0.826</v>
      </c>
      <c r="I42" s="8" t="n">
        <v>2.281</v>
      </c>
      <c r="J42" s="5" t="n">
        <v>0</v>
      </c>
      <c r="K42" s="8" t="n">
        <v>0</v>
      </c>
      <c r="L42" s="8">
        <f>I42-K42</f>
        <v/>
      </c>
      <c r="M42" s="5" t="inlineStr">
        <is>
          <t>General</t>
        </is>
      </c>
      <c r="N42" s="6">
        <f>VLOOKUP(A42&amp;"|"&amp;M42,PARAMETROS!$A$4:$B$9,2,FALSE)</f>
        <v/>
      </c>
      <c r="O42" s="8">
        <f>I42*N42</f>
        <v/>
      </c>
      <c r="P42" s="8">
        <f>K42*PARAMETROS!$B$10</f>
        <v/>
      </c>
      <c r="Q42" s="8">
        <f>O42-P42</f>
        <v/>
      </c>
      <c r="R42" s="5" t="inlineStr">
        <is>
          <t>S-1 CIMENTACION Y DETALLES</t>
        </is>
      </c>
      <c r="S42" s="5" t="inlineStr">
        <is>
          <t>Corrida de blocks colineales; union por columna/mocheta; esquina al muro mas largo</t>
        </is>
      </c>
      <c r="T42" s="5" t="inlineStr"/>
    </row>
    <row r="43">
      <c r="A43" s="5" t="inlineStr">
        <is>
          <t>SÓTANO</t>
        </is>
      </c>
      <c r="B43" s="5" t="inlineStr">
        <is>
          <t>SOT-40</t>
        </is>
      </c>
      <c r="C43" s="5" t="inlineStr">
        <is>
          <t>Muro de contención de 30cm</t>
        </is>
      </c>
      <c r="D43" s="6" t="n">
        <v>0.3</v>
      </c>
      <c r="E43" s="8" t="n">
        <v>11.222</v>
      </c>
      <c r="F43" s="8" t="n">
        <v>3.655</v>
      </c>
      <c r="G43" s="8" t="n">
        <v>10.622</v>
      </c>
      <c r="H43" s="8" t="n">
        <v>3.905</v>
      </c>
      <c r="I43" s="8" t="n">
        <v>0.65</v>
      </c>
      <c r="J43" s="5" t="n">
        <v>0</v>
      </c>
      <c r="K43" s="8" t="n">
        <v>0</v>
      </c>
      <c r="L43" s="8">
        <f>I43-K43</f>
        <v/>
      </c>
      <c r="M43" s="5" t="inlineStr">
        <is>
          <t>General</t>
        </is>
      </c>
      <c r="N43" s="6">
        <f>VLOOKUP(A43&amp;"|"&amp;M43,PARAMETROS!$A$4:$B$9,2,FALSE)</f>
        <v/>
      </c>
      <c r="O43" s="8">
        <f>I43*N43</f>
        <v/>
      </c>
      <c r="P43" s="8">
        <f>K43*PARAMETROS!$B$10</f>
        <v/>
      </c>
      <c r="Q43" s="8">
        <f>O43-P43</f>
        <v/>
      </c>
      <c r="R43" s="5" t="inlineStr">
        <is>
          <t>S-1 CIMENTACION Y DETALLES</t>
        </is>
      </c>
      <c r="S43" s="5" t="inlineStr">
        <is>
          <t>Corrida de blocks colineales; union por columna/mocheta; esquina al muro mas largo</t>
        </is>
      </c>
      <c r="T43" s="5" t="inlineStr"/>
    </row>
    <row r="44">
      <c r="A44" s="5" t="inlineStr">
        <is>
          <t>SÓTANO</t>
        </is>
      </c>
      <c r="B44" s="5" t="inlineStr">
        <is>
          <t>SOT-41</t>
        </is>
      </c>
      <c r="C44" s="5" t="inlineStr">
        <is>
          <t>Muro de contención de 30cm</t>
        </is>
      </c>
      <c r="D44" s="6" t="n">
        <v>0.3</v>
      </c>
      <c r="E44" s="8" t="n">
        <v>8.582000000000001</v>
      </c>
      <c r="F44" s="8" t="n">
        <v>4.756</v>
      </c>
      <c r="G44" s="8" t="n">
        <v>8.222</v>
      </c>
      <c r="H44" s="8" t="n">
        <v>4.906</v>
      </c>
      <c r="I44" s="8" t="n">
        <v>0.39</v>
      </c>
      <c r="J44" s="5" t="n">
        <v>0</v>
      </c>
      <c r="K44" s="8" t="n">
        <v>0</v>
      </c>
      <c r="L44" s="8">
        <f>I44-K44</f>
        <v/>
      </c>
      <c r="M44" s="5" t="inlineStr">
        <is>
          <t>General</t>
        </is>
      </c>
      <c r="N44" s="6">
        <f>VLOOKUP(A44&amp;"|"&amp;M44,PARAMETROS!$A$4:$B$9,2,FALSE)</f>
        <v/>
      </c>
      <c r="O44" s="8">
        <f>I44*N44</f>
        <v/>
      </c>
      <c r="P44" s="8">
        <f>K44*PARAMETROS!$B$10</f>
        <v/>
      </c>
      <c r="Q44" s="8">
        <f>O44-P44</f>
        <v/>
      </c>
      <c r="R44" s="5" t="inlineStr">
        <is>
          <t>S-1 CIMENTACION Y DETALLES</t>
        </is>
      </c>
      <c r="S44" s="5" t="inlineStr">
        <is>
          <t>Corrida de blocks colineales; union por columna/mocheta; esquina al muro mas largo</t>
        </is>
      </c>
      <c r="T44" s="5" t="inlineStr">
        <is>
          <t>Tramo corto: verificar</t>
        </is>
      </c>
    </row>
    <row r="45">
      <c r="A45" s="5" t="inlineStr">
        <is>
          <t>SÓTANO</t>
        </is>
      </c>
      <c r="B45" s="5" t="inlineStr">
        <is>
          <t>SOT-42</t>
        </is>
      </c>
      <c r="C45" s="5" t="inlineStr">
        <is>
          <t>Muro de contención de 30cm</t>
        </is>
      </c>
      <c r="D45" s="6" t="n">
        <v>0.3</v>
      </c>
      <c r="E45" s="8" t="n">
        <v>6.285</v>
      </c>
      <c r="F45" s="8" t="n">
        <v>5.714</v>
      </c>
      <c r="G45" s="8" t="n">
        <v>5.592</v>
      </c>
      <c r="H45" s="8" t="n">
        <v>6.003</v>
      </c>
      <c r="I45" s="8" t="n">
        <v>0.75</v>
      </c>
      <c r="J45" s="5" t="n">
        <v>0</v>
      </c>
      <c r="K45" s="8" t="n">
        <v>0</v>
      </c>
      <c r="L45" s="8">
        <f>I45-K45</f>
        <v/>
      </c>
      <c r="M45" s="5" t="inlineStr">
        <is>
          <t>General</t>
        </is>
      </c>
      <c r="N45" s="6">
        <f>VLOOKUP(A45&amp;"|"&amp;M45,PARAMETROS!$A$4:$B$9,2,FALSE)</f>
        <v/>
      </c>
      <c r="O45" s="8">
        <f>I45*N45</f>
        <v/>
      </c>
      <c r="P45" s="8">
        <f>K45*PARAMETROS!$B$10</f>
        <v/>
      </c>
      <c r="Q45" s="8">
        <f>O45-P45</f>
        <v/>
      </c>
      <c r="R45" s="5" t="inlineStr">
        <is>
          <t>S-1 CIMENTACION Y DETALLES</t>
        </is>
      </c>
      <c r="S45" s="5" t="inlineStr">
        <is>
          <t>Corrida de blocks colineales; union por columna/mocheta; esquina al muro mas largo</t>
        </is>
      </c>
      <c r="T45" s="5" t="inlineStr"/>
    </row>
    <row r="46">
      <c r="A46" s="5" t="inlineStr">
        <is>
          <t>SÓTANO</t>
        </is>
      </c>
      <c r="B46" s="5" t="inlineStr">
        <is>
          <t>SOT-43</t>
        </is>
      </c>
      <c r="C46" s="5" t="inlineStr">
        <is>
          <t>Muro de contención de 30cm</t>
        </is>
      </c>
      <c r="D46" s="6" t="n">
        <v>0.3</v>
      </c>
      <c r="E46" s="8" t="n">
        <v>5.326</v>
      </c>
      <c r="F46" s="8" t="n">
        <v>5.884</v>
      </c>
      <c r="G46" s="8" t="n">
        <v>1.889</v>
      </c>
      <c r="H46" s="8" t="n">
        <v>7.318</v>
      </c>
      <c r="I46" s="8" t="n">
        <v>3.724</v>
      </c>
      <c r="J46" s="5" t="n">
        <v>0</v>
      </c>
      <c r="K46" s="8" t="n">
        <v>0</v>
      </c>
      <c r="L46" s="8">
        <f>I46-K46</f>
        <v/>
      </c>
      <c r="M46" s="5" t="inlineStr">
        <is>
          <t>General</t>
        </is>
      </c>
      <c r="N46" s="6">
        <f>VLOOKUP(A46&amp;"|"&amp;M46,PARAMETROS!$A$4:$B$9,2,FALSE)</f>
        <v/>
      </c>
      <c r="O46" s="8">
        <f>I46*N46</f>
        <v/>
      </c>
      <c r="P46" s="8">
        <f>K46*PARAMETROS!$B$10</f>
        <v/>
      </c>
      <c r="Q46" s="8">
        <f>O46-P46</f>
        <v/>
      </c>
      <c r="R46" s="5" t="inlineStr">
        <is>
          <t>S-1 CIMENTACION Y DETALLES</t>
        </is>
      </c>
      <c r="S46" s="5" t="inlineStr">
        <is>
          <t>Corrida de blocks colineales; union por columna/mocheta; esquina al muro mas largo</t>
        </is>
      </c>
      <c r="T46" s="5" t="inlineStr"/>
    </row>
    <row r="47">
      <c r="A47" s="5" t="inlineStr">
        <is>
          <t>SÓTANO</t>
        </is>
      </c>
      <c r="B47" s="5" t="inlineStr">
        <is>
          <t>SOT-44</t>
        </is>
      </c>
      <c r="C47" s="5" t="inlineStr">
        <is>
          <t>Muro de contención de 30cm</t>
        </is>
      </c>
      <c r="D47" s="6" t="n">
        <v>0.3</v>
      </c>
      <c r="E47" s="8" t="n">
        <v>3.847</v>
      </c>
      <c r="F47" s="8" t="n">
        <v>-4.808</v>
      </c>
      <c r="G47" s="8" t="n">
        <v>2.089</v>
      </c>
      <c r="H47" s="8" t="n">
        <v>-4.075</v>
      </c>
      <c r="I47" s="8" t="n">
        <v>1.904</v>
      </c>
      <c r="J47" s="5" t="n">
        <v>0</v>
      </c>
      <c r="K47" s="8" t="n">
        <v>0</v>
      </c>
      <c r="L47" s="8">
        <f>I47-K47</f>
        <v/>
      </c>
      <c r="M47" s="5" t="inlineStr">
        <is>
          <t>General</t>
        </is>
      </c>
      <c r="N47" s="6">
        <f>VLOOKUP(A47&amp;"|"&amp;M47,PARAMETROS!$A$4:$B$9,2,FALSE)</f>
        <v/>
      </c>
      <c r="O47" s="8">
        <f>I47*N47</f>
        <v/>
      </c>
      <c r="P47" s="8">
        <f>K47*PARAMETROS!$B$10</f>
        <v/>
      </c>
      <c r="Q47" s="8">
        <f>O47-P47</f>
        <v/>
      </c>
      <c r="R47" s="5" t="inlineStr">
        <is>
          <t>S-1 CIMENTACION Y DETALLES</t>
        </is>
      </c>
      <c r="S47" s="5" t="inlineStr">
        <is>
          <t>Corrida de blocks colineales; union por columna/mocheta; esquina al muro mas largo</t>
        </is>
      </c>
      <c r="T47" s="5" t="inlineStr"/>
    </row>
    <row r="48">
      <c r="A48" s="5" t="inlineStr">
        <is>
          <t>SÓTANO</t>
        </is>
      </c>
      <c r="B48" s="5" t="inlineStr">
        <is>
          <t>SOT-45</t>
        </is>
      </c>
      <c r="C48" s="5" t="inlineStr">
        <is>
          <t>Muro de 15cm</t>
        </is>
      </c>
      <c r="D48" s="6" t="n">
        <v>0.15</v>
      </c>
      <c r="E48" s="8" t="n">
        <v>-25.287</v>
      </c>
      <c r="F48" s="8" t="n">
        <v>-6.682</v>
      </c>
      <c r="G48" s="8" t="n">
        <v>-28.16</v>
      </c>
      <c r="H48" s="8" t="n">
        <v>-5.97</v>
      </c>
      <c r="I48" s="8" t="n">
        <v>2.96</v>
      </c>
      <c r="J48" s="5" t="n">
        <v>0</v>
      </c>
      <c r="K48" s="8" t="n">
        <v>0</v>
      </c>
      <c r="L48" s="8">
        <f>I48-K48</f>
        <v/>
      </c>
      <c r="M48" s="5" t="inlineStr">
        <is>
          <t>General</t>
        </is>
      </c>
      <c r="N48" s="6">
        <f>VLOOKUP(A48&amp;"|"&amp;M48,PARAMETROS!$A$4:$B$9,2,FALSE)</f>
        <v/>
      </c>
      <c r="O48" s="8">
        <f>I48*N48</f>
        <v/>
      </c>
      <c r="P48" s="8">
        <f>K48*PARAMETROS!$B$10</f>
        <v/>
      </c>
      <c r="Q48" s="8">
        <f>O48-P48</f>
        <v/>
      </c>
      <c r="R48" s="5" t="inlineStr">
        <is>
          <t>S-1 CIMENTACION Y DETALLES</t>
        </is>
      </c>
      <c r="S48" s="5" t="inlineStr">
        <is>
          <t>Corrida de blocks colineales; union por columna/mocheta; esquina al muro mas largo</t>
        </is>
      </c>
      <c r="T48" s="5" t="inlineStr"/>
    </row>
    <row r="49">
      <c r="A49" s="5" t="inlineStr">
        <is>
          <t>SÓTANO</t>
        </is>
      </c>
      <c r="B49" s="5" t="inlineStr">
        <is>
          <t>SOT-46</t>
        </is>
      </c>
      <c r="C49" s="5" t="inlineStr">
        <is>
          <t>Muro de 15cm</t>
        </is>
      </c>
      <c r="D49" s="6" t="n">
        <v>0.15</v>
      </c>
      <c r="E49" s="8" t="n">
        <v>-23.591</v>
      </c>
      <c r="F49" s="8" t="n">
        <v>-8.132</v>
      </c>
      <c r="G49" s="8" t="n">
        <v>-25.693</v>
      </c>
      <c r="H49" s="8" t="n">
        <v>-7.611</v>
      </c>
      <c r="I49" s="8" t="n">
        <v>2.165</v>
      </c>
      <c r="J49" s="5" t="n">
        <v>0</v>
      </c>
      <c r="K49" s="8" t="n">
        <v>0</v>
      </c>
      <c r="L49" s="8">
        <f>I49-K49</f>
        <v/>
      </c>
      <c r="M49" s="5" t="inlineStr">
        <is>
          <t>General</t>
        </is>
      </c>
      <c r="N49" s="6">
        <f>VLOOKUP(A49&amp;"|"&amp;M49,PARAMETROS!$A$4:$B$9,2,FALSE)</f>
        <v/>
      </c>
      <c r="O49" s="8">
        <f>I49*N49</f>
        <v/>
      </c>
      <c r="P49" s="8">
        <f>K49*PARAMETROS!$B$10</f>
        <v/>
      </c>
      <c r="Q49" s="8">
        <f>O49-P49</f>
        <v/>
      </c>
      <c r="R49" s="5" t="inlineStr">
        <is>
          <t>S-1 CIMENTACION Y DETALLES</t>
        </is>
      </c>
      <c r="S49" s="5" t="inlineStr">
        <is>
          <t>Corrida de blocks colineales; union por columna/mocheta; esquina al muro mas largo</t>
        </is>
      </c>
      <c r="T49" s="5" t="inlineStr"/>
    </row>
    <row r="50">
      <c r="A50" s="5" t="inlineStr">
        <is>
          <t>SÓTANO</t>
        </is>
      </c>
      <c r="B50" s="5" t="inlineStr">
        <is>
          <t>SOT-47</t>
        </is>
      </c>
      <c r="C50" s="5" t="inlineStr">
        <is>
          <t>Muro de 15cm</t>
        </is>
      </c>
      <c r="D50" s="6" t="n">
        <v>0.15</v>
      </c>
      <c r="E50" s="8" t="n">
        <v>-32.976</v>
      </c>
      <c r="F50" s="8" t="n">
        <v>-13.464</v>
      </c>
      <c r="G50" s="8" t="n">
        <v>-33.156</v>
      </c>
      <c r="H50" s="8" t="n">
        <v>-13.419</v>
      </c>
      <c r="I50" s="8" t="n">
        <v>0.185</v>
      </c>
      <c r="J50" s="5" t="n">
        <v>0</v>
      </c>
      <c r="K50" s="8" t="n">
        <v>0</v>
      </c>
      <c r="L50" s="8">
        <f>I50-K50</f>
        <v/>
      </c>
      <c r="M50" s="5" t="inlineStr">
        <is>
          <t>General</t>
        </is>
      </c>
      <c r="N50" s="6">
        <f>VLOOKUP(A50&amp;"|"&amp;M50,PARAMETROS!$A$4:$B$9,2,FALSE)</f>
        <v/>
      </c>
      <c r="O50" s="8">
        <f>I50*N50</f>
        <v/>
      </c>
      <c r="P50" s="8">
        <f>K50*PARAMETROS!$B$10</f>
        <v/>
      </c>
      <c r="Q50" s="8">
        <f>O50-P50</f>
        <v/>
      </c>
      <c r="R50" s="5" t="inlineStr">
        <is>
          <t>S-1 CIMENTACION Y DETALLES</t>
        </is>
      </c>
      <c r="S50" s="5" t="inlineStr">
        <is>
          <t>Corrida de blocks colineales; union por columna/mocheta; esquina al muro mas largo</t>
        </is>
      </c>
      <c r="T50" s="5" t="inlineStr">
        <is>
          <t>Tramo corto: verificar</t>
        </is>
      </c>
    </row>
    <row r="51">
      <c r="A51" s="5" t="inlineStr">
        <is>
          <t>SÓTANO</t>
        </is>
      </c>
      <c r="B51" s="5" t="inlineStr">
        <is>
          <t>SOT-48</t>
        </is>
      </c>
      <c r="C51" s="5" t="inlineStr">
        <is>
          <t>Muro de contención de 30cm</t>
        </is>
      </c>
      <c r="D51" s="6" t="n">
        <v>0.3</v>
      </c>
      <c r="E51" s="8" t="n">
        <v>-20.852</v>
      </c>
      <c r="F51" s="8" t="n">
        <v>-10.382</v>
      </c>
      <c r="G51" s="8" t="n">
        <v>-29.644</v>
      </c>
      <c r="H51" s="8" t="n">
        <v>-8.202999999999999</v>
      </c>
      <c r="I51" s="8" t="n">
        <v>9.058</v>
      </c>
      <c r="J51" s="5" t="n">
        <v>0</v>
      </c>
      <c r="K51" s="8" t="n">
        <v>0</v>
      </c>
      <c r="L51" s="8">
        <f>I51-K51</f>
        <v/>
      </c>
      <c r="M51" s="5" t="inlineStr">
        <is>
          <t>General</t>
        </is>
      </c>
      <c r="N51" s="6">
        <f>VLOOKUP(A51&amp;"|"&amp;M51,PARAMETROS!$A$4:$B$9,2,FALSE)</f>
        <v/>
      </c>
      <c r="O51" s="8">
        <f>I51*N51</f>
        <v/>
      </c>
      <c r="P51" s="8">
        <f>K51*PARAMETROS!$B$10</f>
        <v/>
      </c>
      <c r="Q51" s="8">
        <f>O51-P51</f>
        <v/>
      </c>
      <c r="R51" s="5" t="inlineStr">
        <is>
          <t>S-1 CIMENTACION Y DETALLES</t>
        </is>
      </c>
      <c r="S51" s="5" t="inlineStr">
        <is>
          <t>Corrida de blocks colineales; union por columna/mocheta; esquina al muro mas largo</t>
        </is>
      </c>
      <c r="T51" s="5" t="inlineStr">
        <is>
          <t>2 hueco(s) de columna/mocheta incluidos en la longitud</t>
        </is>
      </c>
    </row>
    <row r="52">
      <c r="A52" s="5" t="inlineStr">
        <is>
          <t>SÓTANO</t>
        </is>
      </c>
      <c r="B52" s="5" t="inlineStr">
        <is>
          <t>SOT-49</t>
        </is>
      </c>
      <c r="C52" s="5" t="inlineStr">
        <is>
          <t>Muro de contención de 30cm</t>
        </is>
      </c>
      <c r="D52" s="6" t="n">
        <v>0.3</v>
      </c>
      <c r="E52" s="8" t="n">
        <v>-17.931</v>
      </c>
      <c r="F52" s="8" t="n">
        <v>-17.115</v>
      </c>
      <c r="G52" s="8" t="n">
        <v>-32.958</v>
      </c>
      <c r="H52" s="8" t="n">
        <v>-13.391</v>
      </c>
      <c r="I52" s="8" t="n">
        <v>15.482</v>
      </c>
      <c r="J52" s="5" t="n">
        <v>0</v>
      </c>
      <c r="K52" s="8" t="n">
        <v>0</v>
      </c>
      <c r="L52" s="8">
        <f>I52-K52</f>
        <v/>
      </c>
      <c r="M52" s="5" t="inlineStr">
        <is>
          <t>General</t>
        </is>
      </c>
      <c r="N52" s="6">
        <f>VLOOKUP(A52&amp;"|"&amp;M52,PARAMETROS!$A$4:$B$9,2,FALSE)</f>
        <v/>
      </c>
      <c r="O52" s="8">
        <f>I52*N52</f>
        <v/>
      </c>
      <c r="P52" s="8">
        <f>K52*PARAMETROS!$B$10</f>
        <v/>
      </c>
      <c r="Q52" s="8">
        <f>O52-P52</f>
        <v/>
      </c>
      <c r="R52" s="5" t="inlineStr">
        <is>
          <t>S-1 CIMENTACION Y DETALLES</t>
        </is>
      </c>
      <c r="S52" s="5" t="inlineStr">
        <is>
          <t>Corrida de blocks colineales; union por columna/mocheta; esquina al muro mas largo</t>
        </is>
      </c>
      <c r="T52" s="5" t="inlineStr"/>
    </row>
    <row r="53">
      <c r="A53" s="5" t="inlineStr">
        <is>
          <t>NIVEL 1</t>
        </is>
      </c>
      <c r="B53" s="5" t="inlineStr">
        <is>
          <t>N1-01</t>
        </is>
      </c>
      <c r="C53" s="5" t="inlineStr">
        <is>
          <t>Muro de 15cm</t>
        </is>
      </c>
      <c r="D53" s="6" t="n">
        <v>0.15</v>
      </c>
      <c r="E53" s="8" t="n">
        <v>-12.916</v>
      </c>
      <c r="F53" s="8" t="n">
        <v>1.158</v>
      </c>
      <c r="G53" s="8" t="n">
        <v>-11.511</v>
      </c>
      <c r="H53" s="8" t="n">
        <v>1.158</v>
      </c>
      <c r="I53" s="8" t="n">
        <v>1.405</v>
      </c>
      <c r="J53" s="5" t="n">
        <v>0</v>
      </c>
      <c r="K53" s="8" t="n">
        <v>0</v>
      </c>
      <c r="L53" s="8">
        <f>I53-K53</f>
        <v/>
      </c>
      <c r="M53" s="5" t="inlineStr">
        <is>
          <t>General</t>
        </is>
      </c>
      <c r="N53" s="6">
        <f>VLOOKUP(A53&amp;"|"&amp;M53,PARAMETROS!$A$4:$B$9,2,FALSE)</f>
        <v/>
      </c>
      <c r="O53" s="8">
        <f>I53*N53</f>
        <v/>
      </c>
      <c r="P53" s="8">
        <f>K53*PARAMETROS!$B$10</f>
        <v/>
      </c>
      <c r="Q53" s="8">
        <f>O53-P53</f>
        <v/>
      </c>
      <c r="R53" s="5" t="inlineStr">
        <is>
          <t>S-3 EMPLANTILLADO NIVEL 1</t>
        </is>
      </c>
      <c r="S53" s="5" t="inlineStr">
        <is>
          <t>Corrida de blocks colineales; union por columna/mocheta; esquina al muro mas largo</t>
        </is>
      </c>
      <c r="T53" s="5" t="inlineStr"/>
    </row>
    <row r="54">
      <c r="A54" s="5" t="inlineStr">
        <is>
          <t>NIVEL 1</t>
        </is>
      </c>
      <c r="B54" s="5" t="inlineStr">
        <is>
          <t>N1-02</t>
        </is>
      </c>
      <c r="C54" s="5" t="inlineStr">
        <is>
          <t>Muro de 15cm</t>
        </is>
      </c>
      <c r="D54" s="6" t="n">
        <v>0.15</v>
      </c>
      <c r="E54" s="8" t="n">
        <v>-4.411</v>
      </c>
      <c r="F54" s="8" t="n">
        <v>1.178</v>
      </c>
      <c r="G54" s="8" t="n">
        <v>-2.6</v>
      </c>
      <c r="H54" s="8" t="n">
        <v>1.178</v>
      </c>
      <c r="I54" s="8" t="n">
        <v>1.811</v>
      </c>
      <c r="J54" s="5" t="n">
        <v>0</v>
      </c>
      <c r="K54" s="8" t="n">
        <v>0</v>
      </c>
      <c r="L54" s="8">
        <f>I54-K54</f>
        <v/>
      </c>
      <c r="M54" s="5" t="inlineStr">
        <is>
          <t>General</t>
        </is>
      </c>
      <c r="N54" s="6">
        <f>VLOOKUP(A54&amp;"|"&amp;M54,PARAMETROS!$A$4:$B$9,2,FALSE)</f>
        <v/>
      </c>
      <c r="O54" s="8">
        <f>I54*N54</f>
        <v/>
      </c>
      <c r="P54" s="8">
        <f>K54*PARAMETROS!$B$10</f>
        <v/>
      </c>
      <c r="Q54" s="8">
        <f>O54-P54</f>
        <v/>
      </c>
      <c r="R54" s="5" t="inlineStr">
        <is>
          <t>S-3 EMPLANTILLADO NIVEL 1</t>
        </is>
      </c>
      <c r="S54" s="5" t="inlineStr">
        <is>
          <t>Corrida de blocks colineales; union por columna/mocheta; esquina al muro mas largo</t>
        </is>
      </c>
      <c r="T54" s="5" t="inlineStr"/>
    </row>
    <row r="55">
      <c r="A55" s="5" t="inlineStr">
        <is>
          <t>NIVEL 1</t>
        </is>
      </c>
      <c r="B55" s="5" t="inlineStr">
        <is>
          <t>N1-03</t>
        </is>
      </c>
      <c r="C55" s="5" t="inlineStr">
        <is>
          <t>Muro de 15cm</t>
        </is>
      </c>
      <c r="D55" s="6" t="n">
        <v>0.15</v>
      </c>
      <c r="E55" s="8" t="n">
        <v>-2.6</v>
      </c>
      <c r="F55" s="8" t="n">
        <v>1.178</v>
      </c>
      <c r="G55" s="8" t="n">
        <v>-2.357</v>
      </c>
      <c r="H55" s="8" t="n">
        <v>1.178</v>
      </c>
      <c r="I55" s="8" t="n">
        <v>0.243</v>
      </c>
      <c r="J55" s="5" t="n">
        <v>0</v>
      </c>
      <c r="K55" s="8" t="n">
        <v>0</v>
      </c>
      <c r="L55" s="8">
        <f>I55-K55</f>
        <v/>
      </c>
      <c r="M55" s="5" t="inlineStr">
        <is>
          <t>General</t>
        </is>
      </c>
      <c r="N55" s="6">
        <f>VLOOKUP(A55&amp;"|"&amp;M55,PARAMETROS!$A$4:$B$9,2,FALSE)</f>
        <v/>
      </c>
      <c r="O55" s="8">
        <f>I55*N55</f>
        <v/>
      </c>
      <c r="P55" s="8">
        <f>K55*PARAMETROS!$B$10</f>
        <v/>
      </c>
      <c r="Q55" s="8">
        <f>O55-P55</f>
        <v/>
      </c>
      <c r="R55" s="5" t="inlineStr">
        <is>
          <t>S-3 EMPLANTILLADO NIVEL 1</t>
        </is>
      </c>
      <c r="S55" s="5" t="inlineStr">
        <is>
          <t>Corrida de blocks colineales; union por columna/mocheta; esquina al muro mas largo</t>
        </is>
      </c>
      <c r="T55" s="5" t="inlineStr">
        <is>
          <t>Tramo corto: verificar</t>
        </is>
      </c>
    </row>
    <row r="56">
      <c r="A56" s="5" t="inlineStr">
        <is>
          <t>NIVEL 1</t>
        </is>
      </c>
      <c r="B56" s="5" t="inlineStr">
        <is>
          <t>N1-04</t>
        </is>
      </c>
      <c r="C56" s="5" t="inlineStr">
        <is>
          <t>Muro de 15cm</t>
        </is>
      </c>
      <c r="D56" s="6" t="n">
        <v>0.15</v>
      </c>
      <c r="E56" s="8" t="n">
        <v>-14.651</v>
      </c>
      <c r="F56" s="8" t="n">
        <v>5.864</v>
      </c>
      <c r="G56" s="8" t="n">
        <v>-11.511</v>
      </c>
      <c r="H56" s="8" t="n">
        <v>5.864</v>
      </c>
      <c r="I56" s="8" t="n">
        <v>3.14</v>
      </c>
      <c r="J56" s="5" t="n">
        <v>0</v>
      </c>
      <c r="K56" s="8" t="n">
        <v>0</v>
      </c>
      <c r="L56" s="8">
        <f>I56-K56</f>
        <v/>
      </c>
      <c r="M56" s="5" t="inlineStr">
        <is>
          <t>General</t>
        </is>
      </c>
      <c r="N56" s="6">
        <f>VLOOKUP(A56&amp;"|"&amp;M56,PARAMETROS!$A$4:$B$9,2,FALSE)</f>
        <v/>
      </c>
      <c r="O56" s="8">
        <f>I56*N56</f>
        <v/>
      </c>
      <c r="P56" s="8">
        <f>K56*PARAMETROS!$B$10</f>
        <v/>
      </c>
      <c r="Q56" s="8">
        <f>O56-P56</f>
        <v/>
      </c>
      <c r="R56" s="5" t="inlineStr">
        <is>
          <t>S-3 EMPLANTILLADO NIVEL 1</t>
        </is>
      </c>
      <c r="S56" s="5" t="inlineStr">
        <is>
          <t>Corrida de blocks colineales; union por columna/mocheta; esquina al muro mas largo</t>
        </is>
      </c>
      <c r="T56" s="5" t="inlineStr"/>
    </row>
    <row r="57">
      <c r="A57" s="5" t="inlineStr">
        <is>
          <t>NIVEL 1</t>
        </is>
      </c>
      <c r="B57" s="5" t="inlineStr">
        <is>
          <t>N1-05</t>
        </is>
      </c>
      <c r="C57" s="5" t="inlineStr">
        <is>
          <t>Muro de 15cm</t>
        </is>
      </c>
      <c r="D57" s="6" t="n">
        <v>0.15</v>
      </c>
      <c r="E57" s="8" t="n">
        <v>-14.851</v>
      </c>
      <c r="F57" s="8" t="n">
        <v>7.811</v>
      </c>
      <c r="G57" s="8" t="n">
        <v>-11.511</v>
      </c>
      <c r="H57" s="8" t="n">
        <v>7.811</v>
      </c>
      <c r="I57" s="8" t="n">
        <v>3.34</v>
      </c>
      <c r="J57" s="5" t="n">
        <v>0</v>
      </c>
      <c r="K57" s="8" t="n">
        <v>0</v>
      </c>
      <c r="L57" s="8">
        <f>I57-K57</f>
        <v/>
      </c>
      <c r="M57" s="5" t="inlineStr">
        <is>
          <t>General</t>
        </is>
      </c>
      <c r="N57" s="6">
        <f>VLOOKUP(A57&amp;"|"&amp;M57,PARAMETROS!$A$4:$B$9,2,FALSE)</f>
        <v/>
      </c>
      <c r="O57" s="8">
        <f>I57*N57</f>
        <v/>
      </c>
      <c r="P57" s="8">
        <f>K57*PARAMETROS!$B$10</f>
        <v/>
      </c>
      <c r="Q57" s="8">
        <f>O57-P57</f>
        <v/>
      </c>
      <c r="R57" s="5" t="inlineStr">
        <is>
          <t>S-3 EMPLANTILLADO NIVEL 1</t>
        </is>
      </c>
      <c r="S57" s="5" t="inlineStr">
        <is>
          <t>Corrida de blocks colineales; union por columna/mocheta; esquina al muro mas largo</t>
        </is>
      </c>
      <c r="T57" s="5" t="inlineStr"/>
    </row>
    <row r="58">
      <c r="A58" s="5" t="inlineStr">
        <is>
          <t>NIVEL 1</t>
        </is>
      </c>
      <c r="B58" s="5" t="inlineStr">
        <is>
          <t>N1-06</t>
        </is>
      </c>
      <c r="C58" s="5" t="inlineStr">
        <is>
          <t>Muro de 15cm</t>
        </is>
      </c>
      <c r="D58" s="6" t="n">
        <v>0.15</v>
      </c>
      <c r="E58" s="8" t="n">
        <v>-11.511</v>
      </c>
      <c r="F58" s="8" t="n">
        <v>8.685</v>
      </c>
      <c r="G58" s="8" t="n">
        <v>-8.471</v>
      </c>
      <c r="H58" s="8" t="n">
        <v>8.685</v>
      </c>
      <c r="I58" s="8" t="n">
        <v>3.04</v>
      </c>
      <c r="J58" s="5" t="n">
        <v>0</v>
      </c>
      <c r="K58" s="8" t="n">
        <v>0</v>
      </c>
      <c r="L58" s="8">
        <f>I58-K58</f>
        <v/>
      </c>
      <c r="M58" s="5" t="inlineStr">
        <is>
          <t>General</t>
        </is>
      </c>
      <c r="N58" s="6">
        <f>VLOOKUP(A58&amp;"|"&amp;M58,PARAMETROS!$A$4:$B$9,2,FALSE)</f>
        <v/>
      </c>
      <c r="O58" s="8">
        <f>I58*N58</f>
        <v/>
      </c>
      <c r="P58" s="8">
        <f>K58*PARAMETROS!$B$10</f>
        <v/>
      </c>
      <c r="Q58" s="8">
        <f>O58-P58</f>
        <v/>
      </c>
      <c r="R58" s="5" t="inlineStr">
        <is>
          <t>S-3 EMPLANTILLADO NIVEL 1</t>
        </is>
      </c>
      <c r="S58" s="5" t="inlineStr">
        <is>
          <t>Corrida de blocks colineales; union por columna/mocheta; esquina al muro mas largo</t>
        </is>
      </c>
      <c r="T58" s="5" t="inlineStr"/>
    </row>
    <row r="59">
      <c r="A59" s="5" t="inlineStr">
        <is>
          <t>NIVEL 1</t>
        </is>
      </c>
      <c r="B59" s="5" t="inlineStr">
        <is>
          <t>N1-07</t>
        </is>
      </c>
      <c r="C59" s="5" t="inlineStr">
        <is>
          <t>Muro de 15cm</t>
        </is>
      </c>
      <c r="D59" s="6" t="n">
        <v>0.15</v>
      </c>
      <c r="E59" s="8" t="n">
        <v>-4.411</v>
      </c>
      <c r="F59" s="8" t="n">
        <v>8.695</v>
      </c>
      <c r="G59" s="8" t="n">
        <v>-2.6</v>
      </c>
      <c r="H59" s="8" t="n">
        <v>8.695</v>
      </c>
      <c r="I59" s="8" t="n">
        <v>1.811</v>
      </c>
      <c r="J59" s="5" t="n">
        <v>0</v>
      </c>
      <c r="K59" s="8" t="n">
        <v>0</v>
      </c>
      <c r="L59" s="8">
        <f>I59-K59</f>
        <v/>
      </c>
      <c r="M59" s="5" t="inlineStr">
        <is>
          <t>General</t>
        </is>
      </c>
      <c r="N59" s="6">
        <f>VLOOKUP(A59&amp;"|"&amp;M59,PARAMETROS!$A$4:$B$9,2,FALSE)</f>
        <v/>
      </c>
      <c r="O59" s="8">
        <f>I59*N59</f>
        <v/>
      </c>
      <c r="P59" s="8">
        <f>K59*PARAMETROS!$B$10</f>
        <v/>
      </c>
      <c r="Q59" s="8">
        <f>O59-P59</f>
        <v/>
      </c>
      <c r="R59" s="5" t="inlineStr">
        <is>
          <t>S-3 EMPLANTILLADO NIVEL 1</t>
        </is>
      </c>
      <c r="S59" s="5" t="inlineStr">
        <is>
          <t>Corrida de blocks colineales; union por columna/mocheta; esquina al muro mas largo</t>
        </is>
      </c>
      <c r="T59" s="5" t="inlineStr"/>
    </row>
    <row r="60">
      <c r="A60" s="5" t="inlineStr">
        <is>
          <t>NIVEL 1</t>
        </is>
      </c>
      <c r="B60" s="5" t="inlineStr">
        <is>
          <t>N1-08</t>
        </is>
      </c>
      <c r="C60" s="5" t="inlineStr">
        <is>
          <t>Muro de 15cm</t>
        </is>
      </c>
      <c r="D60" s="6" t="n">
        <v>0.15</v>
      </c>
      <c r="E60" s="8" t="n">
        <v>-2.6</v>
      </c>
      <c r="F60" s="8" t="n">
        <v>8.695</v>
      </c>
      <c r="G60" s="8" t="n">
        <v>-2.511</v>
      </c>
      <c r="H60" s="8" t="n">
        <v>8.695</v>
      </c>
      <c r="I60" s="8" t="n">
        <v>0.089</v>
      </c>
      <c r="J60" s="5" t="n">
        <v>0</v>
      </c>
      <c r="K60" s="8" t="n">
        <v>0</v>
      </c>
      <c r="L60" s="8">
        <f>I60-K60</f>
        <v/>
      </c>
      <c r="M60" s="5" t="inlineStr">
        <is>
          <t>Piso NPT 0.00 (ejes 5-6, A-C)</t>
        </is>
      </c>
      <c r="N60" s="6">
        <f>VLOOKUP(A60&amp;"|"&amp;M60,PARAMETROS!$A$4:$B$9,2,FALSE)</f>
        <v/>
      </c>
      <c r="O60" s="8">
        <f>I60*N60</f>
        <v/>
      </c>
      <c r="P60" s="8">
        <f>K60*PARAMETROS!$B$10</f>
        <v/>
      </c>
      <c r="Q60" s="8">
        <f>O60-P60</f>
        <v/>
      </c>
      <c r="R60" s="5" t="inlineStr">
        <is>
          <t>S-3 EMPLANTILLADO NIVEL 1</t>
        </is>
      </c>
      <c r="S60" s="5" t="inlineStr">
        <is>
          <t>Corrida de blocks colineales; union por columna/mocheta; esquina al muro mas largo</t>
        </is>
      </c>
      <c r="T60" s="5" t="inlineStr">
        <is>
          <t>Tramo corto: verificar</t>
        </is>
      </c>
    </row>
    <row r="61">
      <c r="A61" s="5" t="inlineStr">
        <is>
          <t>NIVEL 1</t>
        </is>
      </c>
      <c r="B61" s="5" t="inlineStr">
        <is>
          <t>N1-09</t>
        </is>
      </c>
      <c r="C61" s="5" t="inlineStr">
        <is>
          <t>Muro de 20cm</t>
        </is>
      </c>
      <c r="D61" s="6" t="n">
        <v>0.2</v>
      </c>
      <c r="E61" s="8" t="n">
        <v>-2.907</v>
      </c>
      <c r="F61" s="8" t="n">
        <v>-3.664</v>
      </c>
      <c r="G61" s="8" t="n">
        <v>-2.6</v>
      </c>
      <c r="H61" s="8" t="n">
        <v>-3.664</v>
      </c>
      <c r="I61" s="8" t="n">
        <v>0.307</v>
      </c>
      <c r="J61" s="5" t="n">
        <v>0</v>
      </c>
      <c r="K61" s="8" t="n">
        <v>0</v>
      </c>
      <c r="L61" s="8">
        <f>I61-K61</f>
        <v/>
      </c>
      <c r="M61" s="5" t="inlineStr">
        <is>
          <t>General</t>
        </is>
      </c>
      <c r="N61" s="6">
        <f>VLOOKUP(A61&amp;"|"&amp;M61,PARAMETROS!$A$4:$B$9,2,FALSE)</f>
        <v/>
      </c>
      <c r="O61" s="8">
        <f>I61*N61</f>
        <v/>
      </c>
      <c r="P61" s="8">
        <f>K61*PARAMETROS!$B$10</f>
        <v/>
      </c>
      <c r="Q61" s="8">
        <f>O61-P61</f>
        <v/>
      </c>
      <c r="R61" s="5" t="inlineStr">
        <is>
          <t>S-3 EMPLANTILLADO NIVEL 1</t>
        </is>
      </c>
      <c r="S61" s="5" t="inlineStr">
        <is>
          <t>Corrida de blocks colineales; union por columna/mocheta; esquina al muro mas largo</t>
        </is>
      </c>
      <c r="T61" s="5" t="inlineStr">
        <is>
          <t>Tramo corto: verificar</t>
        </is>
      </c>
    </row>
    <row r="62">
      <c r="A62" s="5" t="inlineStr">
        <is>
          <t>NIVEL 1</t>
        </is>
      </c>
      <c r="B62" s="5" t="inlineStr">
        <is>
          <t>N1-10</t>
        </is>
      </c>
      <c r="C62" s="5" t="inlineStr">
        <is>
          <t>Muro de 20cm</t>
        </is>
      </c>
      <c r="D62" s="6" t="n">
        <v>0.2</v>
      </c>
      <c r="E62" s="8" t="n">
        <v>-2.6</v>
      </c>
      <c r="F62" s="8" t="n">
        <v>-3.664</v>
      </c>
      <c r="G62" s="8" t="n">
        <v>1.589</v>
      </c>
      <c r="H62" s="8" t="n">
        <v>-3.664</v>
      </c>
      <c r="I62" s="8" t="n">
        <v>4.189</v>
      </c>
      <c r="J62" s="5" t="n">
        <v>1</v>
      </c>
      <c r="K62" s="8" t="n">
        <v>1.35</v>
      </c>
      <c r="L62" s="8">
        <f>I62-K62</f>
        <v/>
      </c>
      <c r="M62" s="5" t="inlineStr">
        <is>
          <t>General</t>
        </is>
      </c>
      <c r="N62" s="6">
        <f>VLOOKUP(A62&amp;"|"&amp;M62,PARAMETROS!$A$4:$B$9,2,FALSE)</f>
        <v/>
      </c>
      <c r="O62" s="8">
        <f>I62*N62</f>
        <v/>
      </c>
      <c r="P62" s="8">
        <f>K62*PARAMETROS!$B$10</f>
        <v/>
      </c>
      <c r="Q62" s="8">
        <f>O62-P62</f>
        <v/>
      </c>
      <c r="R62" s="5" t="inlineStr">
        <is>
          <t>S-3 EMPLANTILLADO NIVEL 1</t>
        </is>
      </c>
      <c r="S62" s="5" t="inlineStr">
        <is>
          <t>Corrida de blocks colineales; union por columna/mocheta; esquina al muro mas largo</t>
        </is>
      </c>
      <c r="T62" s="5" t="inlineStr"/>
    </row>
    <row r="63">
      <c r="A63" s="5" t="inlineStr">
        <is>
          <t>NIVEL 1</t>
        </is>
      </c>
      <c r="B63" s="5" t="inlineStr">
        <is>
          <t>N1-11</t>
        </is>
      </c>
      <c r="C63" s="5" t="inlineStr">
        <is>
          <t>Muro de 20cm</t>
        </is>
      </c>
      <c r="D63" s="6" t="n">
        <v>0.2</v>
      </c>
      <c r="E63" s="8" t="n">
        <v>-12.717</v>
      </c>
      <c r="F63" s="8" t="n">
        <v>1.458</v>
      </c>
      <c r="G63" s="8" t="n">
        <v>-11.521</v>
      </c>
      <c r="H63" s="8" t="n">
        <v>1.458</v>
      </c>
      <c r="I63" s="8" t="n">
        <v>1.196</v>
      </c>
      <c r="J63" s="5" t="n">
        <v>0</v>
      </c>
      <c r="K63" s="8" t="n">
        <v>0</v>
      </c>
      <c r="L63" s="8">
        <f>I63-K63</f>
        <v/>
      </c>
      <c r="M63" s="5" t="inlineStr">
        <is>
          <t>General</t>
        </is>
      </c>
      <c r="N63" s="6">
        <f>VLOOKUP(A63&amp;"|"&amp;M63,PARAMETROS!$A$4:$B$9,2,FALSE)</f>
        <v/>
      </c>
      <c r="O63" s="8">
        <f>I63*N63</f>
        <v/>
      </c>
      <c r="P63" s="8">
        <f>K63*PARAMETROS!$B$10</f>
        <v/>
      </c>
      <c r="Q63" s="8">
        <f>O63-P63</f>
        <v/>
      </c>
      <c r="R63" s="5" t="inlineStr">
        <is>
          <t>S-3 EMPLANTILLADO NIVEL 1</t>
        </is>
      </c>
      <c r="S63" s="5" t="inlineStr">
        <is>
          <t>Corrida de blocks colineales; union por columna/mocheta; esquina al muro mas largo</t>
        </is>
      </c>
      <c r="T63" s="5" t="inlineStr"/>
    </row>
    <row r="64">
      <c r="A64" s="5" t="inlineStr">
        <is>
          <t>NIVEL 1</t>
        </is>
      </c>
      <c r="B64" s="5" t="inlineStr">
        <is>
          <t>N1-12</t>
        </is>
      </c>
      <c r="C64" s="5" t="inlineStr">
        <is>
          <t>Muro de 20cm</t>
        </is>
      </c>
      <c r="D64" s="6" t="n">
        <v>0.2</v>
      </c>
      <c r="E64" s="8" t="n">
        <v>-4.411</v>
      </c>
      <c r="F64" s="8" t="n">
        <v>6.56</v>
      </c>
      <c r="G64" s="8" t="n">
        <v>-2.645</v>
      </c>
      <c r="H64" s="8" t="n">
        <v>6.56</v>
      </c>
      <c r="I64" s="8" t="n">
        <v>1.766</v>
      </c>
      <c r="J64" s="5" t="n">
        <v>0</v>
      </c>
      <c r="K64" s="8" t="n">
        <v>0</v>
      </c>
      <c r="L64" s="8">
        <f>I64-K64</f>
        <v/>
      </c>
      <c r="M64" s="5" t="inlineStr">
        <is>
          <t>General</t>
        </is>
      </c>
      <c r="N64" s="6">
        <f>VLOOKUP(A64&amp;"|"&amp;M64,PARAMETROS!$A$4:$B$9,2,FALSE)</f>
        <v/>
      </c>
      <c r="O64" s="8">
        <f>I64*N64</f>
        <v/>
      </c>
      <c r="P64" s="8">
        <f>K64*PARAMETROS!$B$10</f>
        <v/>
      </c>
      <c r="Q64" s="8">
        <f>O64-P64</f>
        <v/>
      </c>
      <c r="R64" s="5" t="inlineStr">
        <is>
          <t>S-3 EMPLANTILLADO NIVEL 1</t>
        </is>
      </c>
      <c r="S64" s="5" t="inlineStr">
        <is>
          <t>Corrida de blocks colineales; union por columna/mocheta; esquina al muro mas largo</t>
        </is>
      </c>
      <c r="T64" s="5" t="inlineStr"/>
    </row>
    <row r="65">
      <c r="A65" s="5" t="inlineStr">
        <is>
          <t>NIVEL 1</t>
        </is>
      </c>
      <c r="B65" s="5" t="inlineStr">
        <is>
          <t>N1-13</t>
        </is>
      </c>
      <c r="C65" s="5" t="inlineStr">
        <is>
          <t>Muro de 15cm</t>
        </is>
      </c>
      <c r="D65" s="6" t="n">
        <v>0.15</v>
      </c>
      <c r="E65" s="8" t="n">
        <v>-14.23</v>
      </c>
      <c r="F65" s="8" t="n">
        <v>-9.582000000000001</v>
      </c>
      <c r="G65" s="8" t="n">
        <v>-12.905</v>
      </c>
      <c r="H65" s="8" t="n">
        <v>-7.588</v>
      </c>
      <c r="I65" s="8" t="n">
        <v>2.394</v>
      </c>
      <c r="J65" s="5" t="n">
        <v>0</v>
      </c>
      <c r="K65" s="8" t="n">
        <v>0</v>
      </c>
      <c r="L65" s="8">
        <f>I65-K65</f>
        <v/>
      </c>
      <c r="M65" s="5" t="inlineStr">
        <is>
          <t>General</t>
        </is>
      </c>
      <c r="N65" s="6">
        <f>VLOOKUP(A65&amp;"|"&amp;M65,PARAMETROS!$A$4:$B$9,2,FALSE)</f>
        <v/>
      </c>
      <c r="O65" s="8">
        <f>I65*N65</f>
        <v/>
      </c>
      <c r="P65" s="8">
        <f>K65*PARAMETROS!$B$10</f>
        <v/>
      </c>
      <c r="Q65" s="8">
        <f>O65-P65</f>
        <v/>
      </c>
      <c r="R65" s="5" t="inlineStr">
        <is>
          <t>S-3 EMPLANTILLADO NIVEL 1</t>
        </is>
      </c>
      <c r="S65" s="5" t="inlineStr">
        <is>
          <t>Corrida de blocks colineales; union por columna/mocheta; esquina al muro mas largo</t>
        </is>
      </c>
      <c r="T65" s="5" t="inlineStr"/>
    </row>
    <row r="66">
      <c r="A66" s="5" t="inlineStr">
        <is>
          <t>NIVEL 1</t>
        </is>
      </c>
      <c r="B66" s="5" t="inlineStr">
        <is>
          <t>N1-14</t>
        </is>
      </c>
      <c r="C66" s="5" t="inlineStr">
        <is>
          <t>Muro de 15cm</t>
        </is>
      </c>
      <c r="D66" s="6" t="n">
        <v>0.15</v>
      </c>
      <c r="E66" s="8" t="n">
        <v>-14.974</v>
      </c>
      <c r="F66" s="8" t="n">
        <v>-7.861</v>
      </c>
      <c r="G66" s="8" t="n">
        <v>-13.757</v>
      </c>
      <c r="H66" s="8" t="n">
        <v>-6.03</v>
      </c>
      <c r="I66" s="8" t="n">
        <v>2.198</v>
      </c>
      <c r="J66" s="5" t="n">
        <v>0</v>
      </c>
      <c r="K66" s="8" t="n">
        <v>0</v>
      </c>
      <c r="L66" s="8">
        <f>I66-K66</f>
        <v/>
      </c>
      <c r="M66" s="5" t="inlineStr">
        <is>
          <t>General</t>
        </is>
      </c>
      <c r="N66" s="6">
        <f>VLOOKUP(A66&amp;"|"&amp;M66,PARAMETROS!$A$4:$B$9,2,FALSE)</f>
        <v/>
      </c>
      <c r="O66" s="8">
        <f>I66*N66</f>
        <v/>
      </c>
      <c r="P66" s="8">
        <f>K66*PARAMETROS!$B$10</f>
        <v/>
      </c>
      <c r="Q66" s="8">
        <f>O66-P66</f>
        <v/>
      </c>
      <c r="R66" s="5" t="inlineStr">
        <is>
          <t>S-3 EMPLANTILLADO NIVEL 1</t>
        </is>
      </c>
      <c r="S66" s="5" t="inlineStr">
        <is>
          <t>Corrida de blocks colineales; union por columna/mocheta; esquina al muro mas largo</t>
        </is>
      </c>
      <c r="T66" s="5" t="inlineStr"/>
    </row>
    <row r="67">
      <c r="A67" s="5" t="inlineStr">
        <is>
          <t>NIVEL 1</t>
        </is>
      </c>
      <c r="B67" s="5" t="inlineStr">
        <is>
          <t>N1-15</t>
        </is>
      </c>
      <c r="C67" s="5" t="inlineStr">
        <is>
          <t>Muro de 15cm</t>
        </is>
      </c>
      <c r="D67" s="6" t="n">
        <v>0.15</v>
      </c>
      <c r="E67" s="8" t="n">
        <v>-17.737</v>
      </c>
      <c r="F67" s="8" t="n">
        <v>-10.89</v>
      </c>
      <c r="G67" s="8" t="n">
        <v>-17.319</v>
      </c>
      <c r="H67" s="8" t="n">
        <v>-10.26</v>
      </c>
      <c r="I67" s="8" t="n">
        <v>0.756</v>
      </c>
      <c r="J67" s="5" t="n">
        <v>0</v>
      </c>
      <c r="K67" s="8" t="n">
        <v>0</v>
      </c>
      <c r="L67" s="8">
        <f>I67-K67</f>
        <v/>
      </c>
      <c r="M67" s="5" t="inlineStr">
        <is>
          <t>General</t>
        </is>
      </c>
      <c r="N67" s="6">
        <f>VLOOKUP(A67&amp;"|"&amp;M67,PARAMETROS!$A$4:$B$9,2,FALSE)</f>
        <v/>
      </c>
      <c r="O67" s="8">
        <f>I67*N67</f>
        <v/>
      </c>
      <c r="P67" s="8">
        <f>K67*PARAMETROS!$B$10</f>
        <v/>
      </c>
      <c r="Q67" s="8">
        <f>O67-P67</f>
        <v/>
      </c>
      <c r="R67" s="5" t="inlineStr">
        <is>
          <t>S-3 EMPLANTILLADO NIVEL 1</t>
        </is>
      </c>
      <c r="S67" s="5" t="inlineStr">
        <is>
          <t>Corrida de blocks colineales; union por columna/mocheta; esquina al muro mas largo</t>
        </is>
      </c>
      <c r="T67" s="5" t="inlineStr"/>
    </row>
    <row r="68">
      <c r="A68" s="5" t="inlineStr">
        <is>
          <t>NIVEL 1</t>
        </is>
      </c>
      <c r="B68" s="5" t="inlineStr">
        <is>
          <t>N1-16</t>
        </is>
      </c>
      <c r="C68" s="5" t="inlineStr">
        <is>
          <t>Muro de 15cm</t>
        </is>
      </c>
      <c r="D68" s="6" t="n">
        <v>0.15</v>
      </c>
      <c r="E68" s="8" t="n">
        <v>-16.027</v>
      </c>
      <c r="F68" s="8" t="n">
        <v>-8.182</v>
      </c>
      <c r="G68" s="8" t="n">
        <v>-15.64</v>
      </c>
      <c r="H68" s="8" t="n">
        <v>-7.599</v>
      </c>
      <c r="I68" s="8" t="n">
        <v>0.7</v>
      </c>
      <c r="J68" s="5" t="n">
        <v>0</v>
      </c>
      <c r="K68" s="8" t="n">
        <v>0</v>
      </c>
      <c r="L68" s="8">
        <f>I68-K68</f>
        <v/>
      </c>
      <c r="M68" s="5" t="inlineStr">
        <is>
          <t>General</t>
        </is>
      </c>
      <c r="N68" s="6">
        <f>VLOOKUP(A68&amp;"|"&amp;M68,PARAMETROS!$A$4:$B$9,2,FALSE)</f>
        <v/>
      </c>
      <c r="O68" s="8">
        <f>I68*N68</f>
        <v/>
      </c>
      <c r="P68" s="8">
        <f>K68*PARAMETROS!$B$10</f>
        <v/>
      </c>
      <c r="Q68" s="8">
        <f>O68-P68</f>
        <v/>
      </c>
      <c r="R68" s="5" t="inlineStr">
        <is>
          <t>S-3 EMPLANTILLADO NIVEL 1</t>
        </is>
      </c>
      <c r="S68" s="5" t="inlineStr">
        <is>
          <t>Corrida de blocks colineales; union por columna/mocheta; esquina al muro mas largo</t>
        </is>
      </c>
      <c r="T68" s="5" t="inlineStr"/>
    </row>
    <row r="69">
      <c r="A69" s="5" t="inlineStr">
        <is>
          <t>NIVEL 1</t>
        </is>
      </c>
      <c r="B69" s="5" t="inlineStr">
        <is>
          <t>N1-17</t>
        </is>
      </c>
      <c r="C69" s="5" t="inlineStr">
        <is>
          <t>Muro de 15cm</t>
        </is>
      </c>
      <c r="D69" s="6" t="n">
        <v>0.15</v>
      </c>
      <c r="E69" s="8" t="n">
        <v>-16.098</v>
      </c>
      <c r="F69" s="8" t="n">
        <v>-7.114</v>
      </c>
      <c r="G69" s="8" t="n">
        <v>-14.881</v>
      </c>
      <c r="H69" s="8" t="n">
        <v>-5.283</v>
      </c>
      <c r="I69" s="8" t="n">
        <v>2.198</v>
      </c>
      <c r="J69" s="5" t="n">
        <v>1</v>
      </c>
      <c r="K69" s="8" t="n">
        <v>0.709</v>
      </c>
      <c r="L69" s="8">
        <f>I69-K69</f>
        <v/>
      </c>
      <c r="M69" s="5" t="inlineStr">
        <is>
          <t>General</t>
        </is>
      </c>
      <c r="N69" s="6">
        <f>VLOOKUP(A69&amp;"|"&amp;M69,PARAMETROS!$A$4:$B$9,2,FALSE)</f>
        <v/>
      </c>
      <c r="O69" s="8">
        <f>I69*N69</f>
        <v/>
      </c>
      <c r="P69" s="8">
        <f>K69*PARAMETROS!$B$10</f>
        <v/>
      </c>
      <c r="Q69" s="8">
        <f>O69-P69</f>
        <v/>
      </c>
      <c r="R69" s="5" t="inlineStr">
        <is>
          <t>S-3 EMPLANTILLADO NIVEL 1</t>
        </is>
      </c>
      <c r="S69" s="5" t="inlineStr">
        <is>
          <t>Corrida de blocks colineales; union por columna/mocheta; esquina al muro mas largo</t>
        </is>
      </c>
      <c r="T69" s="5" t="inlineStr"/>
    </row>
    <row r="70">
      <c r="A70" s="5" t="inlineStr">
        <is>
          <t>NIVEL 1</t>
        </is>
      </c>
      <c r="B70" s="5" t="inlineStr">
        <is>
          <t>N1-18</t>
        </is>
      </c>
      <c r="C70" s="5" t="inlineStr">
        <is>
          <t>Muro de 15cm</t>
        </is>
      </c>
      <c r="D70" s="6" t="n">
        <v>0.15</v>
      </c>
      <c r="E70" s="8" t="n">
        <v>-16.343</v>
      </c>
      <c r="F70" s="8" t="n">
        <v>-4.131</v>
      </c>
      <c r="G70" s="8" t="n">
        <v>-15.817</v>
      </c>
      <c r="H70" s="8" t="n">
        <v>-3.34</v>
      </c>
      <c r="I70" s="8" t="n">
        <v>0.95</v>
      </c>
      <c r="J70" s="5" t="n">
        <v>0</v>
      </c>
      <c r="K70" s="8" t="n">
        <v>0</v>
      </c>
      <c r="L70" s="8">
        <f>I70-K70</f>
        <v/>
      </c>
      <c r="M70" s="5" t="inlineStr">
        <is>
          <t>General</t>
        </is>
      </c>
      <c r="N70" s="6">
        <f>VLOOKUP(A70&amp;"|"&amp;M70,PARAMETROS!$A$4:$B$9,2,FALSE)</f>
        <v/>
      </c>
      <c r="O70" s="8">
        <f>I70*N70</f>
        <v/>
      </c>
      <c r="P70" s="8">
        <f>K70*PARAMETROS!$B$10</f>
        <v/>
      </c>
      <c r="Q70" s="8">
        <f>O70-P70</f>
        <v/>
      </c>
      <c r="R70" s="5" t="inlineStr">
        <is>
          <t>S-3 EMPLANTILLADO NIVEL 1</t>
        </is>
      </c>
      <c r="S70" s="5" t="inlineStr">
        <is>
          <t>Corrida de blocks colineales; union por columna/mocheta; esquina al muro mas largo</t>
        </is>
      </c>
      <c r="T70" s="5" t="inlineStr"/>
    </row>
    <row r="71">
      <c r="A71" s="5" t="inlineStr">
        <is>
          <t>NIVEL 1</t>
        </is>
      </c>
      <c r="B71" s="5" t="inlineStr">
        <is>
          <t>N1-19</t>
        </is>
      </c>
      <c r="C71" s="5" t="inlineStr">
        <is>
          <t>Muro de 15cm</t>
        </is>
      </c>
      <c r="D71" s="6" t="n">
        <v>0.15</v>
      </c>
      <c r="E71" s="8" t="n">
        <v>-13.159</v>
      </c>
      <c r="F71" s="8" t="n">
        <v>0.658</v>
      </c>
      <c r="G71" s="8" t="n">
        <v>-12.833</v>
      </c>
      <c r="H71" s="8" t="n">
        <v>1.149</v>
      </c>
      <c r="I71" s="8" t="n">
        <v>0.59</v>
      </c>
      <c r="J71" s="5" t="n">
        <v>0</v>
      </c>
      <c r="K71" s="8" t="n">
        <v>0</v>
      </c>
      <c r="L71" s="8">
        <f>I71-K71</f>
        <v/>
      </c>
      <c r="M71" s="5" t="inlineStr">
        <is>
          <t>General</t>
        </is>
      </c>
      <c r="N71" s="6">
        <f>VLOOKUP(A71&amp;"|"&amp;M71,PARAMETROS!$A$4:$B$9,2,FALSE)</f>
        <v/>
      </c>
      <c r="O71" s="8">
        <f>I71*N71</f>
        <v/>
      </c>
      <c r="P71" s="8">
        <f>K71*PARAMETROS!$B$10</f>
        <v/>
      </c>
      <c r="Q71" s="8">
        <f>O71-P71</f>
        <v/>
      </c>
      <c r="R71" s="5" t="inlineStr">
        <is>
          <t>S-3 EMPLANTILLADO NIVEL 1</t>
        </is>
      </c>
      <c r="S71" s="5" t="inlineStr">
        <is>
          <t>Corrida de blocks colineales; union por columna/mocheta; esquina al muro mas largo</t>
        </is>
      </c>
      <c r="T71" s="5" t="inlineStr"/>
    </row>
    <row r="72">
      <c r="A72" s="5" t="inlineStr">
        <is>
          <t>NIVEL 1</t>
        </is>
      </c>
      <c r="B72" s="5" t="inlineStr">
        <is>
          <t>N1-20</t>
        </is>
      </c>
      <c r="C72" s="5" t="inlineStr">
        <is>
          <t>Muro de 15cm</t>
        </is>
      </c>
      <c r="D72" s="6" t="n">
        <v>0.15</v>
      </c>
      <c r="E72" s="8" t="n">
        <v>-18.721</v>
      </c>
      <c r="F72" s="8" t="n">
        <v>-5.37</v>
      </c>
      <c r="G72" s="8" t="n">
        <v>-17.504</v>
      </c>
      <c r="H72" s="8" t="n">
        <v>-3.539</v>
      </c>
      <c r="I72" s="8" t="n">
        <v>2.198</v>
      </c>
      <c r="J72" s="5" t="n">
        <v>1</v>
      </c>
      <c r="K72" s="8" t="n">
        <v>0.91</v>
      </c>
      <c r="L72" s="8">
        <f>I72-K72</f>
        <v/>
      </c>
      <c r="M72" s="5" t="inlineStr">
        <is>
          <t>General</t>
        </is>
      </c>
      <c r="N72" s="6">
        <f>VLOOKUP(A72&amp;"|"&amp;M72,PARAMETROS!$A$4:$B$9,2,FALSE)</f>
        <v/>
      </c>
      <c r="O72" s="8">
        <f>I72*N72</f>
        <v/>
      </c>
      <c r="P72" s="8">
        <f>K72*PARAMETROS!$B$10</f>
        <v/>
      </c>
      <c r="Q72" s="8">
        <f>O72-P72</f>
        <v/>
      </c>
      <c r="R72" s="5" t="inlineStr">
        <is>
          <t>S-3 EMPLANTILLADO NIVEL 1</t>
        </is>
      </c>
      <c r="S72" s="5" t="inlineStr">
        <is>
          <t>Corrida de blocks colineales; union por columna/mocheta; esquina al muro mas largo</t>
        </is>
      </c>
      <c r="T72" s="5" t="inlineStr"/>
    </row>
    <row r="73">
      <c r="A73" s="5" t="inlineStr">
        <is>
          <t>NIVEL 1</t>
        </is>
      </c>
      <c r="B73" s="5" t="inlineStr">
        <is>
          <t>N1-21</t>
        </is>
      </c>
      <c r="C73" s="5" t="inlineStr">
        <is>
          <t>Muro de 15cm</t>
        </is>
      </c>
      <c r="D73" s="6" t="n">
        <v>0.15</v>
      </c>
      <c r="E73" s="8" t="n">
        <v>-21.853</v>
      </c>
      <c r="F73" s="8" t="n">
        <v>-7.914</v>
      </c>
      <c r="G73" s="8" t="n">
        <v>-18.504</v>
      </c>
      <c r="H73" s="8" t="n">
        <v>-2.874</v>
      </c>
      <c r="I73" s="8" t="n">
        <v>6.051</v>
      </c>
      <c r="J73" s="5" t="n">
        <v>1</v>
      </c>
      <c r="K73" s="8" t="n">
        <v>1.3</v>
      </c>
      <c r="L73" s="8">
        <f>I73-K73</f>
        <v/>
      </c>
      <c r="M73" s="5" t="inlineStr">
        <is>
          <t>General</t>
        </is>
      </c>
      <c r="N73" s="6">
        <f>VLOOKUP(A73&amp;"|"&amp;M73,PARAMETROS!$A$4:$B$9,2,FALSE)</f>
        <v/>
      </c>
      <c r="O73" s="8">
        <f>I73*N73</f>
        <v/>
      </c>
      <c r="P73" s="8">
        <f>K73*PARAMETROS!$B$10</f>
        <v/>
      </c>
      <c r="Q73" s="8">
        <f>O73-P73</f>
        <v/>
      </c>
      <c r="R73" s="5" t="inlineStr">
        <is>
          <t>S-3 EMPLANTILLADO NIVEL 1</t>
        </is>
      </c>
      <c r="S73" s="5" t="inlineStr">
        <is>
          <t>Corrida de blocks colineales; union por columna/mocheta; esquina al muro mas largo</t>
        </is>
      </c>
      <c r="T73" s="5" t="inlineStr"/>
    </row>
    <row r="74">
      <c r="A74" s="5" t="inlineStr">
        <is>
          <t>NIVEL 1</t>
        </is>
      </c>
      <c r="B74" s="5" t="inlineStr">
        <is>
          <t>N1-22</t>
        </is>
      </c>
      <c r="C74" s="5" t="inlineStr">
        <is>
          <t>Muro de 15cm</t>
        </is>
      </c>
      <c r="D74" s="6" t="n">
        <v>0.15</v>
      </c>
      <c r="E74" s="8" t="n">
        <v>-21.046</v>
      </c>
      <c r="F74" s="8" t="n">
        <v>-4.803</v>
      </c>
      <c r="G74" s="8" t="n">
        <v>-20.719</v>
      </c>
      <c r="H74" s="8" t="n">
        <v>-4.311</v>
      </c>
      <c r="I74" s="8" t="n">
        <v>0.59</v>
      </c>
      <c r="J74" s="5" t="n">
        <v>0</v>
      </c>
      <c r="K74" s="8" t="n">
        <v>0</v>
      </c>
      <c r="L74" s="8">
        <f>I74-K74</f>
        <v/>
      </c>
      <c r="M74" s="5" t="inlineStr">
        <is>
          <t>General</t>
        </is>
      </c>
      <c r="N74" s="6">
        <f>VLOOKUP(A74&amp;"|"&amp;M74,PARAMETROS!$A$4:$B$9,2,FALSE)</f>
        <v/>
      </c>
      <c r="O74" s="8">
        <f>I74*N74</f>
        <v/>
      </c>
      <c r="P74" s="8">
        <f>K74*PARAMETROS!$B$10</f>
        <v/>
      </c>
      <c r="Q74" s="8">
        <f>O74-P74</f>
        <v/>
      </c>
      <c r="R74" s="5" t="inlineStr">
        <is>
          <t>S-3 EMPLANTILLADO NIVEL 1</t>
        </is>
      </c>
      <c r="S74" s="5" t="inlineStr">
        <is>
          <t>Corrida de blocks colineales; union por columna/mocheta; esquina al muro mas largo</t>
        </is>
      </c>
      <c r="T74" s="5" t="inlineStr"/>
    </row>
    <row r="75">
      <c r="A75" s="5" t="inlineStr">
        <is>
          <t>NIVEL 1</t>
        </is>
      </c>
      <c r="B75" s="5" t="inlineStr">
        <is>
          <t>N1-23</t>
        </is>
      </c>
      <c r="C75" s="5" t="inlineStr">
        <is>
          <t>Muro de 15cm</t>
        </is>
      </c>
      <c r="D75" s="6" t="n">
        <v>0.15</v>
      </c>
      <c r="E75" s="8" t="n">
        <v>-25.045</v>
      </c>
      <c r="F75" s="8" t="n">
        <v>-6.032</v>
      </c>
      <c r="G75" s="8" t="n">
        <v>-21.502</v>
      </c>
      <c r="H75" s="8" t="n">
        <v>-0.7</v>
      </c>
      <c r="I75" s="8" t="n">
        <v>6.402</v>
      </c>
      <c r="J75" s="5" t="n">
        <v>3</v>
      </c>
      <c r="K75" s="8" t="n">
        <v>4.219</v>
      </c>
      <c r="L75" s="8">
        <f>I75-K75</f>
        <v/>
      </c>
      <c r="M75" s="5" t="inlineStr">
        <is>
          <t>General</t>
        </is>
      </c>
      <c r="N75" s="6">
        <f>VLOOKUP(A75&amp;"|"&amp;M75,PARAMETROS!$A$4:$B$9,2,FALSE)</f>
        <v/>
      </c>
      <c r="O75" s="8">
        <f>I75*N75</f>
        <v/>
      </c>
      <c r="P75" s="8">
        <f>K75*PARAMETROS!$B$10</f>
        <v/>
      </c>
      <c r="Q75" s="8">
        <f>O75-P75</f>
        <v/>
      </c>
      <c r="R75" s="5" t="inlineStr">
        <is>
          <t>S-3 EMPLANTILLADO NIVEL 1</t>
        </is>
      </c>
      <c r="S75" s="5" t="inlineStr">
        <is>
          <t>Corrida de blocks colineales; union por columna/mocheta; esquina al muro mas largo</t>
        </is>
      </c>
      <c r="T75" s="5" t="inlineStr"/>
    </row>
    <row r="76">
      <c r="A76" s="5" t="inlineStr">
        <is>
          <t>NIVEL 1</t>
        </is>
      </c>
      <c r="B76" s="5" t="inlineStr">
        <is>
          <t>N1-24</t>
        </is>
      </c>
      <c r="C76" s="5" t="inlineStr">
        <is>
          <t>Muro de 20cm</t>
        </is>
      </c>
      <c r="D76" s="6" t="n">
        <v>0.2</v>
      </c>
      <c r="E76" s="8" t="n">
        <v>-21.882</v>
      </c>
      <c r="F76" s="8" t="n">
        <v>-0.6879999999999999</v>
      </c>
      <c r="G76" s="8" t="n">
        <v>-17.261</v>
      </c>
      <c r="H76" s="8" t="n">
        <v>6.267</v>
      </c>
      <c r="I76" s="8" t="n">
        <v>8.35</v>
      </c>
      <c r="J76" s="5" t="n">
        <v>0</v>
      </c>
      <c r="K76" s="8" t="n">
        <v>0</v>
      </c>
      <c r="L76" s="8">
        <f>I76-K76</f>
        <v/>
      </c>
      <c r="M76" s="5" t="inlineStr">
        <is>
          <t>General</t>
        </is>
      </c>
      <c r="N76" s="6">
        <f>VLOOKUP(A76&amp;"|"&amp;M76,PARAMETROS!$A$4:$B$9,2,FALSE)</f>
        <v/>
      </c>
      <c r="O76" s="8">
        <f>I76*N76</f>
        <v/>
      </c>
      <c r="P76" s="8">
        <f>K76*PARAMETROS!$B$10</f>
        <v/>
      </c>
      <c r="Q76" s="8">
        <f>O76-P76</f>
        <v/>
      </c>
      <c r="R76" s="5" t="inlineStr">
        <is>
          <t>S-3 EMPLANTILLADO NIVEL 1</t>
        </is>
      </c>
      <c r="S76" s="5" t="inlineStr">
        <is>
          <t>Corrida de blocks colineales; union por columna/mocheta; esquina al muro mas largo</t>
        </is>
      </c>
      <c r="T76" s="5" t="inlineStr"/>
    </row>
    <row r="77">
      <c r="A77" s="5" t="inlineStr">
        <is>
          <t>NIVEL 1</t>
        </is>
      </c>
      <c r="B77" s="5" t="inlineStr">
        <is>
          <t>N1-25</t>
        </is>
      </c>
      <c r="C77" s="5" t="inlineStr">
        <is>
          <t>Muro de contención de 30cm</t>
        </is>
      </c>
      <c r="D77" s="6" t="n">
        <v>0.3</v>
      </c>
      <c r="E77" s="8" t="n">
        <v>-16.339</v>
      </c>
      <c r="F77" s="8" t="n">
        <v>-12.893</v>
      </c>
      <c r="G77" s="8" t="n">
        <v>-14.443</v>
      </c>
      <c r="H77" s="8" t="n">
        <v>-10.041</v>
      </c>
      <c r="I77" s="8" t="n">
        <v>3.425</v>
      </c>
      <c r="J77" s="5" t="n">
        <v>0</v>
      </c>
      <c r="K77" s="8" t="n">
        <v>0</v>
      </c>
      <c r="L77" s="8">
        <f>I77-K77</f>
        <v/>
      </c>
      <c r="M77" s="5" t="inlineStr">
        <is>
          <t>General</t>
        </is>
      </c>
      <c r="N77" s="6">
        <f>VLOOKUP(A77&amp;"|"&amp;M77,PARAMETROS!$A$4:$B$9,2,FALSE)</f>
        <v/>
      </c>
      <c r="O77" s="8">
        <f>I77*N77</f>
        <v/>
      </c>
      <c r="P77" s="8">
        <f>K77*PARAMETROS!$B$10</f>
        <v/>
      </c>
      <c r="Q77" s="8">
        <f>O77-P77</f>
        <v/>
      </c>
      <c r="R77" s="5" t="inlineStr">
        <is>
          <t>S-3 EMPLANTILLADO NIVEL 1</t>
        </is>
      </c>
      <c r="S77" s="5" t="inlineStr">
        <is>
          <t>Corrida de blocks colineales; union por columna/mocheta; esquina al muro mas largo</t>
        </is>
      </c>
      <c r="T77" s="5" t="inlineStr"/>
    </row>
    <row r="78">
      <c r="A78" s="5" t="inlineStr">
        <is>
          <t>NIVEL 1</t>
        </is>
      </c>
      <c r="B78" s="5" t="inlineStr">
        <is>
          <t>N1-26</t>
        </is>
      </c>
      <c r="C78" s="5" t="inlineStr">
        <is>
          <t>Muro perimetral de 15cm</t>
        </is>
      </c>
      <c r="D78" s="6" t="n">
        <v>0.15</v>
      </c>
      <c r="E78" s="8" t="n">
        <v>1.812</v>
      </c>
      <c r="F78" s="8" t="n">
        <v>-22.027</v>
      </c>
      <c r="G78" s="8" t="n">
        <v>14.675</v>
      </c>
      <c r="H78" s="8" t="n">
        <v>8.815</v>
      </c>
      <c r="I78" s="8" t="n">
        <v>33.417</v>
      </c>
      <c r="J78" s="5" t="n">
        <v>0</v>
      </c>
      <c r="K78" s="8" t="n">
        <v>0</v>
      </c>
      <c r="L78" s="8">
        <f>I78-K78</f>
        <v/>
      </c>
      <c r="M78" s="5" t="inlineStr">
        <is>
          <t>General</t>
        </is>
      </c>
      <c r="N78" s="6">
        <f>VLOOKUP(A78&amp;"|"&amp;M78,PARAMETROS!$A$4:$B$9,2,FALSE)</f>
        <v/>
      </c>
      <c r="O78" s="8">
        <f>I78*N78</f>
        <v/>
      </c>
      <c r="P78" s="8">
        <f>K78*PARAMETROS!$B$10</f>
        <v/>
      </c>
      <c r="Q78" s="8">
        <f>O78-P78</f>
        <v/>
      </c>
      <c r="R78" s="5" t="inlineStr">
        <is>
          <t>S-3 EMPLANTILLADO NIVEL 1</t>
        </is>
      </c>
      <c r="S78" s="5" t="inlineStr">
        <is>
          <t>Corrida de blocks colineales; union por columna/mocheta; esquina al muro mas largo</t>
        </is>
      </c>
      <c r="T78" s="5" t="inlineStr"/>
    </row>
    <row r="79">
      <c r="A79" s="5" t="inlineStr">
        <is>
          <t>NIVEL 1</t>
        </is>
      </c>
      <c r="B79" s="5" t="inlineStr">
        <is>
          <t>N1-27</t>
        </is>
      </c>
      <c r="C79" s="5" t="inlineStr">
        <is>
          <t>Muro de 15cm</t>
        </is>
      </c>
      <c r="D79" s="6" t="n">
        <v>0.15</v>
      </c>
      <c r="E79" s="8" t="n">
        <v>2.224</v>
      </c>
      <c r="F79" s="8" t="n">
        <v>5.406</v>
      </c>
      <c r="G79" s="8" t="n">
        <v>2.8</v>
      </c>
      <c r="H79" s="8" t="n">
        <v>6.788</v>
      </c>
      <c r="I79" s="8" t="n">
        <v>1.497</v>
      </c>
      <c r="J79" s="5" t="n">
        <v>0</v>
      </c>
      <c r="K79" s="8" t="n">
        <v>0</v>
      </c>
      <c r="L79" s="8">
        <f>I79-K79</f>
        <v/>
      </c>
      <c r="M79" s="5" t="inlineStr">
        <is>
          <t>Ala este (losa +4.20)</t>
        </is>
      </c>
      <c r="N79" s="6">
        <f>VLOOKUP(A79&amp;"|"&amp;M79,PARAMETROS!$A$4:$B$9,2,FALSE)</f>
        <v/>
      </c>
      <c r="O79" s="8">
        <f>I79*N79</f>
        <v/>
      </c>
      <c r="P79" s="8">
        <f>K79*PARAMETROS!$B$10</f>
        <v/>
      </c>
      <c r="Q79" s="8">
        <f>O79-P79</f>
        <v/>
      </c>
      <c r="R79" s="5" t="inlineStr">
        <is>
          <t>S-3 EMPLANTILLADO NIVEL 1</t>
        </is>
      </c>
      <c r="S79" s="5" t="inlineStr">
        <is>
          <t>Corrida de blocks colineales; union por columna/mocheta; esquina al muro mas largo</t>
        </is>
      </c>
      <c r="T79" s="5" t="inlineStr"/>
    </row>
    <row r="80">
      <c r="A80" s="5" t="inlineStr">
        <is>
          <t>NIVEL 1</t>
        </is>
      </c>
      <c r="B80" s="5" t="inlineStr">
        <is>
          <t>N1-28</t>
        </is>
      </c>
      <c r="C80" s="5" t="inlineStr">
        <is>
          <t>Muro de 20cm</t>
        </is>
      </c>
      <c r="D80" s="6" t="n">
        <v>0.2</v>
      </c>
      <c r="E80" s="8" t="n">
        <v>7.442</v>
      </c>
      <c r="F80" s="8" t="n">
        <v>-5.928</v>
      </c>
      <c r="G80" s="8" t="n">
        <v>11.268</v>
      </c>
      <c r="H80" s="8" t="n">
        <v>3.246</v>
      </c>
      <c r="I80" s="8" t="n">
        <v>9.94</v>
      </c>
      <c r="J80" s="5" t="n">
        <v>0</v>
      </c>
      <c r="K80" s="8" t="n">
        <v>0</v>
      </c>
      <c r="L80" s="8">
        <f>I80-K80</f>
        <v/>
      </c>
      <c r="M80" s="5" t="inlineStr">
        <is>
          <t>Ala este (losa +4.20)</t>
        </is>
      </c>
      <c r="N80" s="6">
        <f>VLOOKUP(A80&amp;"|"&amp;M80,PARAMETROS!$A$4:$B$9,2,FALSE)</f>
        <v/>
      </c>
      <c r="O80" s="8">
        <f>I80*N80</f>
        <v/>
      </c>
      <c r="P80" s="8">
        <f>K80*PARAMETROS!$B$10</f>
        <v/>
      </c>
      <c r="Q80" s="8">
        <f>O80-P80</f>
        <v/>
      </c>
      <c r="R80" s="5" t="inlineStr">
        <is>
          <t>S-3 EMPLANTILLADO NIVEL 1</t>
        </is>
      </c>
      <c r="S80" s="5" t="inlineStr">
        <is>
          <t>Corrida de blocks colineales; union por columna/mocheta; esquina al muro mas largo</t>
        </is>
      </c>
      <c r="T80" s="5" t="inlineStr">
        <is>
          <t>1 hueco(s) de columna/mocheta incluidos en la longitud</t>
        </is>
      </c>
    </row>
    <row r="81">
      <c r="A81" s="5" t="inlineStr">
        <is>
          <t>NIVEL 1</t>
        </is>
      </c>
      <c r="B81" s="5" t="inlineStr">
        <is>
          <t>N1-29</t>
        </is>
      </c>
      <c r="C81" s="5" t="inlineStr">
        <is>
          <t>Muro de 10cm</t>
        </is>
      </c>
      <c r="D81" s="6" t="n">
        <v>0.1</v>
      </c>
      <c r="E81" s="8" t="n">
        <v>1.539</v>
      </c>
      <c r="F81" s="8" t="n">
        <v>-3.564</v>
      </c>
      <c r="G81" s="8" t="n">
        <v>1.539</v>
      </c>
      <c r="H81" s="8" t="n">
        <v>0.929</v>
      </c>
      <c r="I81" s="8" t="n">
        <v>4.493</v>
      </c>
      <c r="J81" s="5" t="n">
        <v>0</v>
      </c>
      <c r="K81" s="8" t="n">
        <v>0</v>
      </c>
      <c r="L81" s="8">
        <f>I81-K81</f>
        <v/>
      </c>
      <c r="M81" s="5" t="inlineStr">
        <is>
          <t>General</t>
        </is>
      </c>
      <c r="N81" s="6">
        <f>VLOOKUP(A81&amp;"|"&amp;M81,PARAMETROS!$A$4:$B$9,2,FALSE)</f>
        <v/>
      </c>
      <c r="O81" s="8">
        <f>I81*N81</f>
        <v/>
      </c>
      <c r="P81" s="8">
        <f>K81*PARAMETROS!$B$10</f>
        <v/>
      </c>
      <c r="Q81" s="8">
        <f>O81-P81</f>
        <v/>
      </c>
      <c r="R81" s="5" t="inlineStr">
        <is>
          <t>S-3 EMPLANTILLADO NIVEL 1</t>
        </is>
      </c>
      <c r="S81" s="5" t="inlineStr">
        <is>
          <t>Corrida de blocks colineales; union por columna/mocheta; esquina al muro mas largo</t>
        </is>
      </c>
      <c r="T81" s="5" t="inlineStr"/>
    </row>
    <row r="82">
      <c r="A82" s="5" t="inlineStr">
        <is>
          <t>NIVEL 1</t>
        </is>
      </c>
      <c r="B82" s="5" t="inlineStr">
        <is>
          <t>N1-30</t>
        </is>
      </c>
      <c r="C82" s="5" t="inlineStr">
        <is>
          <t>Muro de 10cm</t>
        </is>
      </c>
      <c r="D82" s="6" t="n">
        <v>0.1</v>
      </c>
      <c r="E82" s="8" t="n">
        <v>-2.407</v>
      </c>
      <c r="F82" s="8" t="n">
        <v>-3.564</v>
      </c>
      <c r="G82" s="8" t="n">
        <v>-2.407</v>
      </c>
      <c r="H82" s="8" t="n">
        <v>1.103</v>
      </c>
      <c r="I82" s="8" t="n">
        <v>4.667</v>
      </c>
      <c r="J82" s="5" t="n">
        <v>1</v>
      </c>
      <c r="K82" s="8" t="n">
        <v>0.662</v>
      </c>
      <c r="L82" s="8">
        <f>I82-K82</f>
        <v/>
      </c>
      <c r="M82" s="5" t="inlineStr">
        <is>
          <t>General</t>
        </is>
      </c>
      <c r="N82" s="6">
        <f>VLOOKUP(A82&amp;"|"&amp;M82,PARAMETROS!$A$4:$B$9,2,FALSE)</f>
        <v/>
      </c>
      <c r="O82" s="8">
        <f>I82*N82</f>
        <v/>
      </c>
      <c r="P82" s="8">
        <f>K82*PARAMETROS!$B$10</f>
        <v/>
      </c>
      <c r="Q82" s="8">
        <f>O82-P82</f>
        <v/>
      </c>
      <c r="R82" s="5" t="inlineStr">
        <is>
          <t>S-3 EMPLANTILLADO NIVEL 1</t>
        </is>
      </c>
      <c r="S82" s="5" t="inlineStr">
        <is>
          <t>Corrida de blocks colineales; union por columna/mocheta; esquina al muro mas largo</t>
        </is>
      </c>
      <c r="T82" s="5" t="inlineStr"/>
    </row>
    <row r="83">
      <c r="A83" s="5" t="inlineStr">
        <is>
          <t>NIVEL 1</t>
        </is>
      </c>
      <c r="B83" s="5" t="inlineStr">
        <is>
          <t>N1-31</t>
        </is>
      </c>
      <c r="C83" s="5" t="inlineStr">
        <is>
          <t>Muro de 15cm</t>
        </is>
      </c>
      <c r="D83" s="6" t="n">
        <v>0.15</v>
      </c>
      <c r="E83" s="8" t="n">
        <v>1.814</v>
      </c>
      <c r="F83" s="8" t="n">
        <v>5.578</v>
      </c>
      <c r="G83" s="8" t="n">
        <v>1.814</v>
      </c>
      <c r="H83" s="8" t="n">
        <v>8.275</v>
      </c>
      <c r="I83" s="8" t="n">
        <v>2.698</v>
      </c>
      <c r="J83" s="5" t="n">
        <v>0</v>
      </c>
      <c r="K83" s="8" t="n">
        <v>0</v>
      </c>
      <c r="L83" s="8">
        <f>I83-K83</f>
        <v/>
      </c>
      <c r="M83" s="5" t="inlineStr">
        <is>
          <t>Piso NPT 0.00 (ejes 5-6, A-C)</t>
        </is>
      </c>
      <c r="N83" s="6">
        <f>VLOOKUP(A83&amp;"|"&amp;M83,PARAMETROS!$A$4:$B$9,2,FALSE)</f>
        <v/>
      </c>
      <c r="O83" s="8">
        <f>I83*N83</f>
        <v/>
      </c>
      <c r="P83" s="8">
        <f>K83*PARAMETROS!$B$10</f>
        <v/>
      </c>
      <c r="Q83" s="8">
        <f>O83-P83</f>
        <v/>
      </c>
      <c r="R83" s="5" t="inlineStr">
        <is>
          <t>S-3 EMPLANTILLADO NIVEL 1</t>
        </is>
      </c>
      <c r="S83" s="5" t="inlineStr">
        <is>
          <t>Corrida de blocks colineales; union por columna/mocheta; esquina al muro mas largo</t>
        </is>
      </c>
      <c r="T83" s="5" t="inlineStr">
        <is>
          <t>1 hueco(s) de columna/mocheta incluidos en la longitud</t>
        </is>
      </c>
    </row>
    <row r="84">
      <c r="A84" s="5" t="inlineStr">
        <is>
          <t>NIVEL 1</t>
        </is>
      </c>
      <c r="B84" s="5" t="inlineStr">
        <is>
          <t>N1-32</t>
        </is>
      </c>
      <c r="C84" s="5" t="inlineStr">
        <is>
          <t>Muro de 15cm</t>
        </is>
      </c>
      <c r="D84" s="6" t="n">
        <v>0.15</v>
      </c>
      <c r="E84" s="8" t="n">
        <v>1.564</v>
      </c>
      <c r="F84" s="8" t="n">
        <v>5.519</v>
      </c>
      <c r="G84" s="8" t="n">
        <v>1.564</v>
      </c>
      <c r="H84" s="8" t="n">
        <v>8.795</v>
      </c>
      <c r="I84" s="8" t="n">
        <v>3.276</v>
      </c>
      <c r="J84" s="5" t="n">
        <v>0</v>
      </c>
      <c r="K84" s="8" t="n">
        <v>0</v>
      </c>
      <c r="L84" s="8">
        <f>I84-K84</f>
        <v/>
      </c>
      <c r="M84" s="5" t="inlineStr">
        <is>
          <t>Piso NPT 0.00 (ejes 5-6, A-C)</t>
        </is>
      </c>
      <c r="N84" s="6">
        <f>VLOOKUP(A84&amp;"|"&amp;M84,PARAMETROS!$A$4:$B$9,2,FALSE)</f>
        <v/>
      </c>
      <c r="O84" s="8">
        <f>I84*N84</f>
        <v/>
      </c>
      <c r="P84" s="8">
        <f>K84*PARAMETROS!$B$10</f>
        <v/>
      </c>
      <c r="Q84" s="8">
        <f>O84-P84</f>
        <v/>
      </c>
      <c r="R84" s="5" t="inlineStr">
        <is>
          <t>S-3 EMPLANTILLADO NIVEL 1</t>
        </is>
      </c>
      <c r="S84" s="5" t="inlineStr">
        <is>
          <t>Corrida de blocks colineales; union por columna/mocheta; esquina al muro mas largo</t>
        </is>
      </c>
      <c r="T84" s="5" t="inlineStr">
        <is>
          <t>1 hueco(s) de columna/mocheta incluidos en la longitud</t>
        </is>
      </c>
    </row>
    <row r="85">
      <c r="A85" s="5" t="inlineStr">
        <is>
          <t>NIVEL 1</t>
        </is>
      </c>
      <c r="B85" s="5" t="inlineStr">
        <is>
          <t>N1-33</t>
        </is>
      </c>
      <c r="C85" s="5" t="inlineStr">
        <is>
          <t>Muro de 15cm</t>
        </is>
      </c>
      <c r="D85" s="6" t="n">
        <v>0.15</v>
      </c>
      <c r="E85" s="8" t="n">
        <v>-2.586</v>
      </c>
      <c r="F85" s="8" t="n">
        <v>7.36</v>
      </c>
      <c r="G85" s="8" t="n">
        <v>-2.586</v>
      </c>
      <c r="H85" s="8" t="n">
        <v>8.619999999999999</v>
      </c>
      <c r="I85" s="8" t="n">
        <v>1.26</v>
      </c>
      <c r="J85" s="5" t="n">
        <v>0</v>
      </c>
      <c r="K85" s="8" t="n">
        <v>0</v>
      </c>
      <c r="L85" s="8">
        <f>I85-K85</f>
        <v/>
      </c>
      <c r="M85" s="5" t="inlineStr">
        <is>
          <t>Piso NPT 0.00 (ejes 5-6, A-C)</t>
        </is>
      </c>
      <c r="N85" s="6">
        <f>VLOOKUP(A85&amp;"|"&amp;M85,PARAMETROS!$A$4:$B$9,2,FALSE)</f>
        <v/>
      </c>
      <c r="O85" s="8">
        <f>I85*N85</f>
        <v/>
      </c>
      <c r="P85" s="8">
        <f>K85*PARAMETROS!$B$10</f>
        <v/>
      </c>
      <c r="Q85" s="8">
        <f>O85-P85</f>
        <v/>
      </c>
      <c r="R85" s="5" t="inlineStr">
        <is>
          <t>S-3 EMPLANTILLADO NIVEL 1</t>
        </is>
      </c>
      <c r="S85" s="5" t="inlineStr">
        <is>
          <t>Corrida de blocks colineales; union por columna/mocheta; esquina al muro mas largo</t>
        </is>
      </c>
      <c r="T85" s="5" t="inlineStr"/>
    </row>
    <row r="86">
      <c r="A86" s="5" t="inlineStr">
        <is>
          <t>NIVEL 1</t>
        </is>
      </c>
      <c r="B86" s="5" t="inlineStr">
        <is>
          <t>N1-34</t>
        </is>
      </c>
      <c r="C86" s="5" t="inlineStr">
        <is>
          <t>Muro de 15cm</t>
        </is>
      </c>
      <c r="D86" s="6" t="n">
        <v>0.15</v>
      </c>
      <c r="E86" s="8" t="n">
        <v>-2.832</v>
      </c>
      <c r="F86" s="8" t="n">
        <v>-3.564</v>
      </c>
      <c r="G86" s="8" t="n">
        <v>-2.832</v>
      </c>
      <c r="H86" s="8" t="n">
        <v>-2.359</v>
      </c>
      <c r="I86" s="8" t="n">
        <v>1.205</v>
      </c>
      <c r="J86" s="5" t="n">
        <v>0</v>
      </c>
      <c r="K86" s="8" t="n">
        <v>0</v>
      </c>
      <c r="L86" s="8">
        <f>I86-K86</f>
        <v/>
      </c>
      <c r="M86" s="5" t="inlineStr">
        <is>
          <t>General</t>
        </is>
      </c>
      <c r="N86" s="6">
        <f>VLOOKUP(A86&amp;"|"&amp;M86,PARAMETROS!$A$4:$B$9,2,FALSE)</f>
        <v/>
      </c>
      <c r="O86" s="8">
        <f>I86*N86</f>
        <v/>
      </c>
      <c r="P86" s="8">
        <f>K86*PARAMETROS!$B$10</f>
        <v/>
      </c>
      <c r="Q86" s="8">
        <f>O86-P86</f>
        <v/>
      </c>
      <c r="R86" s="5" t="inlineStr">
        <is>
          <t>S-3 EMPLANTILLADO NIVEL 1</t>
        </is>
      </c>
      <c r="S86" s="5" t="inlineStr">
        <is>
          <t>Corrida de blocks colineales; union por columna/mocheta; esquina al muro mas largo</t>
        </is>
      </c>
      <c r="T86" s="5" t="inlineStr"/>
    </row>
    <row r="87">
      <c r="A87" s="5" t="inlineStr">
        <is>
          <t>NIVEL 1</t>
        </is>
      </c>
      <c r="B87" s="5" t="inlineStr">
        <is>
          <t>N1-35</t>
        </is>
      </c>
      <c r="C87" s="5" t="inlineStr">
        <is>
          <t>Muro de 15cm</t>
        </is>
      </c>
      <c r="D87" s="6" t="n">
        <v>0.15</v>
      </c>
      <c r="E87" s="8" t="n">
        <v>-4.336</v>
      </c>
      <c r="F87" s="8" t="n">
        <v>6.66</v>
      </c>
      <c r="G87" s="8" t="n">
        <v>-4.336</v>
      </c>
      <c r="H87" s="8" t="n">
        <v>8.619999999999999</v>
      </c>
      <c r="I87" s="8" t="n">
        <v>1.96</v>
      </c>
      <c r="J87" s="5" t="n">
        <v>0</v>
      </c>
      <c r="K87" s="8" t="n">
        <v>0</v>
      </c>
      <c r="L87" s="8">
        <f>I87-K87</f>
        <v/>
      </c>
      <c r="M87" s="5" t="inlineStr">
        <is>
          <t>General</t>
        </is>
      </c>
      <c r="N87" s="6">
        <f>VLOOKUP(A87&amp;"|"&amp;M87,PARAMETROS!$A$4:$B$9,2,FALSE)</f>
        <v/>
      </c>
      <c r="O87" s="8">
        <f>I87*N87</f>
        <v/>
      </c>
      <c r="P87" s="8">
        <f>K87*PARAMETROS!$B$10</f>
        <v/>
      </c>
      <c r="Q87" s="8">
        <f>O87-P87</f>
        <v/>
      </c>
      <c r="R87" s="5" t="inlineStr">
        <is>
          <t>S-3 EMPLANTILLADO NIVEL 1</t>
        </is>
      </c>
      <c r="S87" s="5" t="inlineStr">
        <is>
          <t>Corrida de blocks colineales; union por columna/mocheta; esquina al muro mas largo</t>
        </is>
      </c>
      <c r="T87" s="5" t="inlineStr"/>
    </row>
    <row r="88">
      <c r="A88" s="5" t="inlineStr">
        <is>
          <t>NIVEL 1</t>
        </is>
      </c>
      <c r="B88" s="5" t="inlineStr">
        <is>
          <t>N1-36</t>
        </is>
      </c>
      <c r="C88" s="5" t="inlineStr">
        <is>
          <t>Muro de 15cm</t>
        </is>
      </c>
      <c r="D88" s="6" t="n">
        <v>0.15</v>
      </c>
      <c r="E88" s="8" t="n">
        <v>-11.436</v>
      </c>
      <c r="F88" s="8" t="n">
        <v>2.71</v>
      </c>
      <c r="G88" s="8" t="n">
        <v>-11.436</v>
      </c>
      <c r="H88" s="8" t="n">
        <v>8.609999999999999</v>
      </c>
      <c r="I88" s="8" t="n">
        <v>5.9</v>
      </c>
      <c r="J88" s="5" t="n">
        <v>0</v>
      </c>
      <c r="K88" s="8" t="n">
        <v>0</v>
      </c>
      <c r="L88" s="8">
        <f>I88-K88</f>
        <v/>
      </c>
      <c r="M88" s="5" t="inlineStr">
        <is>
          <t>General</t>
        </is>
      </c>
      <c r="N88" s="6">
        <f>VLOOKUP(A88&amp;"|"&amp;M88,PARAMETROS!$A$4:$B$9,2,FALSE)</f>
        <v/>
      </c>
      <c r="O88" s="8">
        <f>I88*N88</f>
        <v/>
      </c>
      <c r="P88" s="8">
        <f>K88*PARAMETROS!$B$10</f>
        <v/>
      </c>
      <c r="Q88" s="8">
        <f>O88-P88</f>
        <v/>
      </c>
      <c r="R88" s="5" t="inlineStr">
        <is>
          <t>S-3 EMPLANTILLADO NIVEL 1</t>
        </is>
      </c>
      <c r="S88" s="5" t="inlineStr">
        <is>
          <t>Corrida de blocks colineales; union por columna/mocheta; esquina al muro mas largo</t>
        </is>
      </c>
      <c r="T88" s="5" t="inlineStr"/>
    </row>
    <row r="89">
      <c r="A89" s="5" t="inlineStr">
        <is>
          <t>NIVEL 1</t>
        </is>
      </c>
      <c r="B89" s="5" t="inlineStr">
        <is>
          <t>N1-37</t>
        </is>
      </c>
      <c r="C89" s="5" t="inlineStr">
        <is>
          <t>Muro de 15cm</t>
        </is>
      </c>
      <c r="D89" s="6" t="n">
        <v>0.15</v>
      </c>
      <c r="E89" s="8" t="n">
        <v>-14.776</v>
      </c>
      <c r="F89" s="8" t="n">
        <v>6.821</v>
      </c>
      <c r="G89" s="8" t="n">
        <v>-14.776</v>
      </c>
      <c r="H89" s="8" t="n">
        <v>7.736</v>
      </c>
      <c r="I89" s="8" t="n">
        <v>0.915</v>
      </c>
      <c r="J89" s="5" t="n">
        <v>0</v>
      </c>
      <c r="K89" s="8" t="n">
        <v>0</v>
      </c>
      <c r="L89" s="8">
        <f>I89-K89</f>
        <v/>
      </c>
      <c r="M89" s="5" t="inlineStr">
        <is>
          <t>General</t>
        </is>
      </c>
      <c r="N89" s="6">
        <f>VLOOKUP(A89&amp;"|"&amp;M89,PARAMETROS!$A$4:$B$9,2,FALSE)</f>
        <v/>
      </c>
      <c r="O89" s="8">
        <f>I89*N89</f>
        <v/>
      </c>
      <c r="P89" s="8">
        <f>K89*PARAMETROS!$B$10</f>
        <v/>
      </c>
      <c r="Q89" s="8">
        <f>O89-P89</f>
        <v/>
      </c>
      <c r="R89" s="5" t="inlineStr">
        <is>
          <t>S-3 EMPLANTILLADO NIVEL 1</t>
        </is>
      </c>
      <c r="S89" s="5" t="inlineStr">
        <is>
          <t>Corrida de blocks colineales; union por columna/mocheta; esquina al muro mas largo</t>
        </is>
      </c>
      <c r="T89" s="5" t="inlineStr"/>
    </row>
    <row r="90">
      <c r="A90" s="5" t="inlineStr">
        <is>
          <t>NIVEL 1</t>
        </is>
      </c>
      <c r="B90" s="5" t="inlineStr">
        <is>
          <t>N1-38</t>
        </is>
      </c>
      <c r="C90" s="5" t="inlineStr">
        <is>
          <t>Muro de 15cm</t>
        </is>
      </c>
      <c r="D90" s="6" t="n">
        <v>0.15</v>
      </c>
      <c r="E90" s="8" t="n">
        <v>-16.426</v>
      </c>
      <c r="F90" s="8" t="n">
        <v>5.532</v>
      </c>
      <c r="G90" s="8" t="n">
        <v>-16.426</v>
      </c>
      <c r="H90" s="8" t="n">
        <v>6.971</v>
      </c>
      <c r="I90" s="8" t="n">
        <v>1.44</v>
      </c>
      <c r="J90" s="5" t="n">
        <v>0</v>
      </c>
      <c r="K90" s="8" t="n">
        <v>0</v>
      </c>
      <c r="L90" s="8">
        <f>I90-K90</f>
        <v/>
      </c>
      <c r="M90" s="5" t="inlineStr">
        <is>
          <t>General</t>
        </is>
      </c>
      <c r="N90" s="6">
        <f>VLOOKUP(A90&amp;"|"&amp;M90,PARAMETROS!$A$4:$B$9,2,FALSE)</f>
        <v/>
      </c>
      <c r="O90" s="8">
        <f>I90*N90</f>
        <v/>
      </c>
      <c r="P90" s="8">
        <f>K90*PARAMETROS!$B$10</f>
        <v/>
      </c>
      <c r="Q90" s="8">
        <f>O90-P90</f>
        <v/>
      </c>
      <c r="R90" s="5" t="inlineStr">
        <is>
          <t>S-3 EMPLANTILLADO NIVEL 1</t>
        </is>
      </c>
      <c r="S90" s="5" t="inlineStr">
        <is>
          <t>Corrida de blocks colineales; union por columna/mocheta; esquina al muro mas largo</t>
        </is>
      </c>
      <c r="T90" s="5" t="inlineStr"/>
    </row>
    <row r="91">
      <c r="A91" s="5" t="inlineStr">
        <is>
          <t>NIVEL 1</t>
        </is>
      </c>
      <c r="B91" s="5" t="inlineStr">
        <is>
          <t>N1-39</t>
        </is>
      </c>
      <c r="C91" s="5" t="inlineStr">
        <is>
          <t>Muro de 20cm</t>
        </is>
      </c>
      <c r="D91" s="6" t="n">
        <v>0.2</v>
      </c>
      <c r="E91" s="8" t="n">
        <v>1.989</v>
      </c>
      <c r="F91" s="8" t="n">
        <v>-3.764</v>
      </c>
      <c r="G91" s="8" t="n">
        <v>1.989</v>
      </c>
      <c r="H91" s="8" t="n">
        <v>1.526</v>
      </c>
      <c r="I91" s="8" t="n">
        <v>5.29</v>
      </c>
      <c r="J91" s="5" t="n">
        <v>0</v>
      </c>
      <c r="K91" s="8" t="n">
        <v>0</v>
      </c>
      <c r="L91" s="8">
        <f>I91-K91</f>
        <v/>
      </c>
      <c r="M91" s="5" t="inlineStr">
        <is>
          <t>General</t>
        </is>
      </c>
      <c r="N91" s="6">
        <f>VLOOKUP(A91&amp;"|"&amp;M91,PARAMETROS!$A$4:$B$9,2,FALSE)</f>
        <v/>
      </c>
      <c r="O91" s="8">
        <f>I91*N91</f>
        <v/>
      </c>
      <c r="P91" s="8">
        <f>K91*PARAMETROS!$B$10</f>
        <v/>
      </c>
      <c r="Q91" s="8">
        <f>O91-P91</f>
        <v/>
      </c>
      <c r="R91" s="5" t="inlineStr">
        <is>
          <t>S-3 EMPLANTILLADO NIVEL 1</t>
        </is>
      </c>
      <c r="S91" s="5" t="inlineStr">
        <is>
          <t>Corrida de blocks colineales; union por columna/mocheta; esquina al muro mas largo</t>
        </is>
      </c>
      <c r="T91" s="5" t="inlineStr"/>
    </row>
    <row r="92">
      <c r="A92" s="5" t="inlineStr">
        <is>
          <t>NIVEL 1</t>
        </is>
      </c>
      <c r="B92" s="5" t="inlineStr">
        <is>
          <t>N1-40</t>
        </is>
      </c>
      <c r="C92" s="5" t="inlineStr">
        <is>
          <t>Muro de 20cm</t>
        </is>
      </c>
      <c r="D92" s="6" t="n">
        <v>0.2</v>
      </c>
      <c r="E92" s="8" t="n">
        <v>-2.807</v>
      </c>
      <c r="F92" s="8" t="n">
        <v>-3.564</v>
      </c>
      <c r="G92" s="8" t="n">
        <v>-2.807</v>
      </c>
      <c r="H92" s="8" t="n">
        <v>1.103</v>
      </c>
      <c r="I92" s="8" t="n">
        <v>4.667</v>
      </c>
      <c r="J92" s="5" t="n">
        <v>0</v>
      </c>
      <c r="K92" s="8" t="n">
        <v>0</v>
      </c>
      <c r="L92" s="8">
        <f>I92-K92</f>
        <v/>
      </c>
      <c r="M92" s="5" t="inlineStr">
        <is>
          <t>General</t>
        </is>
      </c>
      <c r="N92" s="6">
        <f>VLOOKUP(A92&amp;"|"&amp;M92,PARAMETROS!$A$4:$B$9,2,FALSE)</f>
        <v/>
      </c>
      <c r="O92" s="8">
        <f>I92*N92</f>
        <v/>
      </c>
      <c r="P92" s="8">
        <f>K92*PARAMETROS!$B$10</f>
        <v/>
      </c>
      <c r="Q92" s="8">
        <f>O92-P92</f>
        <v/>
      </c>
      <c r="R92" s="5" t="inlineStr">
        <is>
          <t>S-3 EMPLANTILLADO NIVEL 1</t>
        </is>
      </c>
      <c r="S92" s="5" t="inlineStr">
        <is>
          <t>Corrida de blocks colineales; union por columna/mocheta; esquina al muro mas largo</t>
        </is>
      </c>
      <c r="T92" s="5" t="inlineStr">
        <is>
          <t>1 hueco(s) de columna/mocheta incluidos en la longitud</t>
        </is>
      </c>
    </row>
    <row r="93">
      <c r="A93" s="5" t="inlineStr">
        <is>
          <t>NIVEL 1</t>
        </is>
      </c>
      <c r="B93" s="5" t="inlineStr">
        <is>
          <t>N1-41</t>
        </is>
      </c>
      <c r="C93" s="5" t="inlineStr">
        <is>
          <t>Muro de 15cm</t>
        </is>
      </c>
      <c r="D93" s="6" t="n">
        <v>0.15</v>
      </c>
      <c r="E93" s="8" t="n">
        <v>-16.501</v>
      </c>
      <c r="F93" s="8" t="n">
        <v>5.671</v>
      </c>
      <c r="G93" s="8" t="n">
        <v>-17.219</v>
      </c>
      <c r="H93" s="8" t="n">
        <v>6.149</v>
      </c>
      <c r="I93" s="8" t="n">
        <v>0.862</v>
      </c>
      <c r="J93" s="5" t="n">
        <v>0</v>
      </c>
      <c r="K93" s="8" t="n">
        <v>0</v>
      </c>
      <c r="L93" s="8">
        <f>I93-K93</f>
        <v/>
      </c>
      <c r="M93" s="5" t="inlineStr">
        <is>
          <t>General</t>
        </is>
      </c>
      <c r="N93" s="6">
        <f>VLOOKUP(A93&amp;"|"&amp;M93,PARAMETROS!$A$4:$B$9,2,FALSE)</f>
        <v/>
      </c>
      <c r="O93" s="8">
        <f>I93*N93</f>
        <v/>
      </c>
      <c r="P93" s="8">
        <f>K93*PARAMETROS!$B$10</f>
        <v/>
      </c>
      <c r="Q93" s="8">
        <f>O93-P93</f>
        <v/>
      </c>
      <c r="R93" s="5" t="inlineStr">
        <is>
          <t>S-3 EMPLANTILLADO NIVEL 1</t>
        </is>
      </c>
      <c r="S93" s="5" t="inlineStr">
        <is>
          <t>Corrida de blocks colineales; union por columna/mocheta; esquina al muro mas largo</t>
        </is>
      </c>
      <c r="T93" s="5" t="inlineStr"/>
    </row>
    <row r="94">
      <c r="A94" s="5" t="inlineStr">
        <is>
          <t>NIVEL 1</t>
        </is>
      </c>
      <c r="B94" s="5" t="inlineStr">
        <is>
          <t>N1-42</t>
        </is>
      </c>
      <c r="C94" s="5" t="inlineStr">
        <is>
          <t>Muro de 15cm</t>
        </is>
      </c>
      <c r="D94" s="6" t="n">
        <v>0.15</v>
      </c>
      <c r="E94" s="8" t="n">
        <v>-12.477</v>
      </c>
      <c r="F94" s="8" t="n">
        <v>-6.791</v>
      </c>
      <c r="G94" s="8" t="n">
        <v>-19.081</v>
      </c>
      <c r="H94" s="8" t="n">
        <v>-2.401</v>
      </c>
      <c r="I94" s="8" t="n">
        <v>7.93</v>
      </c>
      <c r="J94" s="5" t="n">
        <v>1</v>
      </c>
      <c r="K94" s="8" t="n">
        <v>0.901</v>
      </c>
      <c r="L94" s="8">
        <f>I94-K94</f>
        <v/>
      </c>
      <c r="M94" s="5" t="inlineStr">
        <is>
          <t>General</t>
        </is>
      </c>
      <c r="N94" s="6">
        <f>VLOOKUP(A94&amp;"|"&amp;M94,PARAMETROS!$A$4:$B$9,2,FALSE)</f>
        <v/>
      </c>
      <c r="O94" s="8">
        <f>I94*N94</f>
        <v/>
      </c>
      <c r="P94" s="8">
        <f>K94*PARAMETROS!$B$10</f>
        <v/>
      </c>
      <c r="Q94" s="8">
        <f>O94-P94</f>
        <v/>
      </c>
      <c r="R94" s="5" t="inlineStr">
        <is>
          <t>S-3 EMPLANTILLADO NIVEL 1</t>
        </is>
      </c>
      <c r="S94" s="5" t="inlineStr">
        <is>
          <t>Corrida de blocks colineales; union por columna/mocheta; esquina al muro mas largo</t>
        </is>
      </c>
      <c r="T94" s="5" t="inlineStr"/>
    </row>
    <row r="95">
      <c r="A95" s="5" t="inlineStr">
        <is>
          <t>NIVEL 1</t>
        </is>
      </c>
      <c r="B95" s="5" t="inlineStr">
        <is>
          <t>N1-43</t>
        </is>
      </c>
      <c r="C95" s="5" t="inlineStr">
        <is>
          <t>Muro de 15cm</t>
        </is>
      </c>
      <c r="D95" s="6" t="n">
        <v>0.15</v>
      </c>
      <c r="E95" s="8" t="n">
        <v>-13.769</v>
      </c>
      <c r="F95" s="8" t="n">
        <v>-8.753</v>
      </c>
      <c r="G95" s="8" t="n">
        <v>-18.825</v>
      </c>
      <c r="H95" s="8" t="n">
        <v>-5.391</v>
      </c>
      <c r="I95" s="8" t="n">
        <v>6.072</v>
      </c>
      <c r="J95" s="5" t="n">
        <v>0</v>
      </c>
      <c r="K95" s="8" t="n">
        <v>0</v>
      </c>
      <c r="L95" s="8">
        <f>I95-K95</f>
        <v/>
      </c>
      <c r="M95" s="5" t="inlineStr">
        <is>
          <t>General</t>
        </is>
      </c>
      <c r="N95" s="6">
        <f>VLOOKUP(A95&amp;"|"&amp;M95,PARAMETROS!$A$4:$B$9,2,FALSE)</f>
        <v/>
      </c>
      <c r="O95" s="8">
        <f>I95*N95</f>
        <v/>
      </c>
      <c r="P95" s="8">
        <f>K95*PARAMETROS!$B$10</f>
        <v/>
      </c>
      <c r="Q95" s="8">
        <f>O95-P95</f>
        <v/>
      </c>
      <c r="R95" s="5" t="inlineStr">
        <is>
          <t>S-3 EMPLANTILLADO NIVEL 1</t>
        </is>
      </c>
      <c r="S95" s="5" t="inlineStr">
        <is>
          <t>Corrida de blocks colineales; union por columna/mocheta; esquina al muro mas largo</t>
        </is>
      </c>
      <c r="T95" s="5" t="inlineStr"/>
    </row>
    <row r="96">
      <c r="A96" s="5" t="inlineStr">
        <is>
          <t>NIVEL 1</t>
        </is>
      </c>
      <c r="B96" s="5" t="inlineStr">
        <is>
          <t>N1-44</t>
        </is>
      </c>
      <c r="C96" s="5" t="inlineStr">
        <is>
          <t>Muro de 15cm</t>
        </is>
      </c>
      <c r="D96" s="6" t="n">
        <v>0.15</v>
      </c>
      <c r="E96" s="8" t="n">
        <v>-20.532</v>
      </c>
      <c r="F96" s="8" t="n">
        <v>-4.346</v>
      </c>
      <c r="G96" s="8" t="n">
        <v>-22.823</v>
      </c>
      <c r="H96" s="8" t="n">
        <v>-2.823</v>
      </c>
      <c r="I96" s="8" t="n">
        <v>2.751</v>
      </c>
      <c r="J96" s="5" t="n">
        <v>0</v>
      </c>
      <c r="K96" s="8" t="n">
        <v>0</v>
      </c>
      <c r="L96" s="8">
        <f>I96-K96</f>
        <v/>
      </c>
      <c r="M96" s="5" t="inlineStr">
        <is>
          <t>General</t>
        </is>
      </c>
      <c r="N96" s="6">
        <f>VLOOKUP(A96&amp;"|"&amp;M96,PARAMETROS!$A$4:$B$9,2,FALSE)</f>
        <v/>
      </c>
      <c r="O96" s="8">
        <f>I96*N96</f>
        <v/>
      </c>
      <c r="P96" s="8">
        <f>K96*PARAMETROS!$B$10</f>
        <v/>
      </c>
      <c r="Q96" s="8">
        <f>O96-P96</f>
        <v/>
      </c>
      <c r="R96" s="5" t="inlineStr">
        <is>
          <t>S-3 EMPLANTILLADO NIVEL 1</t>
        </is>
      </c>
      <c r="S96" s="5" t="inlineStr">
        <is>
          <t>Corrida de blocks colineales; union por columna/mocheta; esquina al muro mas largo</t>
        </is>
      </c>
      <c r="T96" s="5" t="inlineStr"/>
    </row>
    <row r="97">
      <c r="A97" s="5" t="inlineStr">
        <is>
          <t>NIVEL 1</t>
        </is>
      </c>
      <c r="B97" s="5" t="inlineStr">
        <is>
          <t>N1-45</t>
        </is>
      </c>
      <c r="C97" s="5" t="inlineStr">
        <is>
          <t>Muro de 15cm</t>
        </is>
      </c>
      <c r="D97" s="6" t="n">
        <v>0.15</v>
      </c>
      <c r="E97" s="8" t="n">
        <v>-21.334</v>
      </c>
      <c r="F97" s="8" t="n">
        <v>-5.554</v>
      </c>
      <c r="G97" s="8" t="n">
        <v>-23.625</v>
      </c>
      <c r="H97" s="8" t="n">
        <v>-4.031</v>
      </c>
      <c r="I97" s="8" t="n">
        <v>2.751</v>
      </c>
      <c r="J97" s="5" t="n">
        <v>0</v>
      </c>
      <c r="K97" s="8" t="n">
        <v>0</v>
      </c>
      <c r="L97" s="8">
        <f>I97-K97</f>
        <v/>
      </c>
      <c r="M97" s="5" t="inlineStr">
        <is>
          <t>General</t>
        </is>
      </c>
      <c r="N97" s="6">
        <f>VLOOKUP(A97&amp;"|"&amp;M97,PARAMETROS!$A$4:$B$9,2,FALSE)</f>
        <v/>
      </c>
      <c r="O97" s="8">
        <f>I97*N97</f>
        <v/>
      </c>
      <c r="P97" s="8">
        <f>K97*PARAMETROS!$B$10</f>
        <v/>
      </c>
      <c r="Q97" s="8">
        <f>O97-P97</f>
        <v/>
      </c>
      <c r="R97" s="5" t="inlineStr">
        <is>
          <t>S-3 EMPLANTILLADO NIVEL 1</t>
        </is>
      </c>
      <c r="S97" s="5" t="inlineStr">
        <is>
          <t>Corrida de blocks colineales; union por columna/mocheta; esquina al muro mas largo</t>
        </is>
      </c>
      <c r="T97" s="5" t="inlineStr"/>
    </row>
    <row r="98">
      <c r="A98" s="5" t="inlineStr">
        <is>
          <t>NIVEL 1</t>
        </is>
      </c>
      <c r="B98" s="5" t="inlineStr">
        <is>
          <t>N1-46</t>
        </is>
      </c>
      <c r="C98" s="5" t="inlineStr">
        <is>
          <t>Muro de 15cm</t>
        </is>
      </c>
      <c r="D98" s="6" t="n">
        <v>0.15</v>
      </c>
      <c r="E98" s="8" t="n">
        <v>-17.758</v>
      </c>
      <c r="F98" s="8" t="n">
        <v>-10.786</v>
      </c>
      <c r="G98" s="8" t="n">
        <v>-18.778</v>
      </c>
      <c r="H98" s="8" t="n">
        <v>-10.108</v>
      </c>
      <c r="I98" s="8" t="n">
        <v>1.225</v>
      </c>
      <c r="J98" s="5" t="n">
        <v>0</v>
      </c>
      <c r="K98" s="8" t="n">
        <v>0</v>
      </c>
      <c r="L98" s="8">
        <f>I98-K98</f>
        <v/>
      </c>
      <c r="M98" s="5" t="inlineStr">
        <is>
          <t>General</t>
        </is>
      </c>
      <c r="N98" s="6">
        <f>VLOOKUP(A98&amp;"|"&amp;M98,PARAMETROS!$A$4:$B$9,2,FALSE)</f>
        <v/>
      </c>
      <c r="O98" s="8">
        <f>I98*N98</f>
        <v/>
      </c>
      <c r="P98" s="8">
        <f>K98*PARAMETROS!$B$10</f>
        <v/>
      </c>
      <c r="Q98" s="8">
        <f>O98-P98</f>
        <v/>
      </c>
      <c r="R98" s="5" t="inlineStr">
        <is>
          <t>S-3 EMPLANTILLADO NIVEL 1</t>
        </is>
      </c>
      <c r="S98" s="5" t="inlineStr">
        <is>
          <t>Corrida de blocks colineales; union por columna/mocheta; esquina al muro mas largo</t>
        </is>
      </c>
      <c r="T98" s="5" t="inlineStr"/>
    </row>
    <row r="99">
      <c r="A99" s="5" t="inlineStr">
        <is>
          <t>NIVEL 1</t>
        </is>
      </c>
      <c r="B99" s="5" t="inlineStr">
        <is>
          <t>N1-47</t>
        </is>
      </c>
      <c r="C99" s="5" t="inlineStr">
        <is>
          <t>Muro de 20cm</t>
        </is>
      </c>
      <c r="D99" s="6" t="n">
        <v>0.2</v>
      </c>
      <c r="E99" s="8" t="n">
        <v>-19.594</v>
      </c>
      <c r="F99" s="8" t="n">
        <v>-2.089</v>
      </c>
      <c r="G99" s="8" t="n">
        <v>-21.494</v>
      </c>
      <c r="H99" s="8" t="n">
        <v>-0.826</v>
      </c>
      <c r="I99" s="8" t="n">
        <v>2.281</v>
      </c>
      <c r="J99" s="5" t="n">
        <v>0</v>
      </c>
      <c r="K99" s="8" t="n">
        <v>0</v>
      </c>
      <c r="L99" s="8">
        <f>I99-K99</f>
        <v/>
      </c>
      <c r="M99" s="5" t="inlineStr">
        <is>
          <t>General</t>
        </is>
      </c>
      <c r="N99" s="6">
        <f>VLOOKUP(A99&amp;"|"&amp;M99,PARAMETROS!$A$4:$B$9,2,FALSE)</f>
        <v/>
      </c>
      <c r="O99" s="8">
        <f>I99*N99</f>
        <v/>
      </c>
      <c r="P99" s="8">
        <f>K99*PARAMETROS!$B$10</f>
        <v/>
      </c>
      <c r="Q99" s="8">
        <f>O99-P99</f>
        <v/>
      </c>
      <c r="R99" s="5" t="inlineStr">
        <is>
          <t>S-3 EMPLANTILLADO NIVEL 1</t>
        </is>
      </c>
      <c r="S99" s="5" t="inlineStr">
        <is>
          <t>Corrida de blocks colineales; union por columna/mocheta; esquina al muro mas largo</t>
        </is>
      </c>
      <c r="T99" s="5" t="inlineStr"/>
    </row>
    <row r="100">
      <c r="A100" s="5" t="inlineStr">
        <is>
          <t>NIVEL 1</t>
        </is>
      </c>
      <c r="B100" s="5" t="inlineStr">
        <is>
          <t>N1-48</t>
        </is>
      </c>
      <c r="C100" s="5" t="inlineStr">
        <is>
          <t>Muro de 20cm</t>
        </is>
      </c>
      <c r="D100" s="6" t="n">
        <v>0.2</v>
      </c>
      <c r="E100" s="8" t="n">
        <v>-21.241</v>
      </c>
      <c r="F100" s="8" t="n">
        <v>-8.441000000000001</v>
      </c>
      <c r="G100" s="8" t="n">
        <v>-24.927</v>
      </c>
      <c r="H100" s="8" t="n">
        <v>-5.99</v>
      </c>
      <c r="I100" s="8" t="n">
        <v>4.427</v>
      </c>
      <c r="J100" s="5" t="n">
        <v>0</v>
      </c>
      <c r="K100" s="8" t="n">
        <v>0</v>
      </c>
      <c r="L100" s="8">
        <f>I100-K100</f>
        <v/>
      </c>
      <c r="M100" s="5" t="inlineStr">
        <is>
          <t>General</t>
        </is>
      </c>
      <c r="N100" s="6">
        <f>VLOOKUP(A100&amp;"|"&amp;M100,PARAMETROS!$A$4:$B$9,2,FALSE)</f>
        <v/>
      </c>
      <c r="O100" s="8">
        <f>I100*N100</f>
        <v/>
      </c>
      <c r="P100" s="8">
        <f>K100*PARAMETROS!$B$10</f>
        <v/>
      </c>
      <c r="Q100" s="8">
        <f>O100-P100</f>
        <v/>
      </c>
      <c r="R100" s="5" t="inlineStr">
        <is>
          <t>S-3 EMPLANTILLADO NIVEL 1</t>
        </is>
      </c>
      <c r="S100" s="5" t="inlineStr">
        <is>
          <t>Corrida de blocks colineales; union por columna/mocheta; esquina al muro mas largo</t>
        </is>
      </c>
      <c r="T100" s="5" t="inlineStr"/>
    </row>
    <row r="101">
      <c r="A101" s="5" t="inlineStr">
        <is>
          <t>NIVEL 1</t>
        </is>
      </c>
      <c r="B101" s="5" t="inlineStr">
        <is>
          <t>N1-49</t>
        </is>
      </c>
      <c r="C101" s="5" t="inlineStr">
        <is>
          <t>Muro de 15cm</t>
        </is>
      </c>
      <c r="D101" s="6" t="n">
        <v>0.15</v>
      </c>
      <c r="E101" s="8" t="n">
        <v>5.302</v>
      </c>
      <c r="F101" s="8" t="n">
        <v>5.826</v>
      </c>
      <c r="G101" s="8" t="n">
        <v>1.889</v>
      </c>
      <c r="H101" s="8" t="n">
        <v>7.25</v>
      </c>
      <c r="I101" s="8" t="n">
        <v>3.698</v>
      </c>
      <c r="J101" s="5" t="n">
        <v>0</v>
      </c>
      <c r="K101" s="8" t="n">
        <v>0</v>
      </c>
      <c r="L101" s="8">
        <f>I101-K101</f>
        <v/>
      </c>
      <c r="M101" s="5" t="inlineStr">
        <is>
          <t>Ala este (losa +4.20)</t>
        </is>
      </c>
      <c r="N101" s="6">
        <f>VLOOKUP(A101&amp;"|"&amp;M101,PARAMETROS!$A$4:$B$9,2,FALSE)</f>
        <v/>
      </c>
      <c r="O101" s="8">
        <f>I101*N101</f>
        <v/>
      </c>
      <c r="P101" s="8">
        <f>K101*PARAMETROS!$B$10</f>
        <v/>
      </c>
      <c r="Q101" s="8">
        <f>O101-P101</f>
        <v/>
      </c>
      <c r="R101" s="5" t="inlineStr">
        <is>
          <t>S-3 EMPLANTILLADO NIVEL 1</t>
        </is>
      </c>
      <c r="S101" s="5" t="inlineStr">
        <is>
          <t>Corrida de blocks colineales; union por columna/mocheta; esquina al muro mas largo</t>
        </is>
      </c>
      <c r="T101" s="5" t="inlineStr"/>
    </row>
    <row r="102">
      <c r="A102" s="5" t="inlineStr">
        <is>
          <t>NIVEL 1</t>
        </is>
      </c>
      <c r="B102" s="5" t="inlineStr">
        <is>
          <t>N1-50</t>
        </is>
      </c>
      <c r="C102" s="5" t="inlineStr">
        <is>
          <t>Muro de 15cm</t>
        </is>
      </c>
      <c r="D102" s="6" t="n">
        <v>0.15</v>
      </c>
      <c r="E102" s="8" t="n">
        <v>2.265</v>
      </c>
      <c r="F102" s="8" t="n">
        <v>5.308</v>
      </c>
      <c r="G102" s="8" t="n">
        <v>1.81</v>
      </c>
      <c r="H102" s="8" t="n">
        <v>5.498</v>
      </c>
      <c r="I102" s="8" t="n">
        <v>0.493</v>
      </c>
      <c r="J102" s="5" t="n">
        <v>0</v>
      </c>
      <c r="K102" s="8" t="n">
        <v>0</v>
      </c>
      <c r="L102" s="8">
        <f>I102-K102</f>
        <v/>
      </c>
      <c r="M102" s="5" t="inlineStr">
        <is>
          <t>General</t>
        </is>
      </c>
      <c r="N102" s="6">
        <f>VLOOKUP(A102&amp;"|"&amp;M102,PARAMETROS!$A$4:$B$9,2,FALSE)</f>
        <v/>
      </c>
      <c r="O102" s="8">
        <f>I102*N102</f>
        <v/>
      </c>
      <c r="P102" s="8">
        <f>K102*PARAMETROS!$B$10</f>
        <v/>
      </c>
      <c r="Q102" s="8">
        <f>O102-P102</f>
        <v/>
      </c>
      <c r="R102" s="5" t="inlineStr">
        <is>
          <t>S-3 EMPLANTILLADO NIVEL 1</t>
        </is>
      </c>
      <c r="S102" s="5" t="inlineStr">
        <is>
          <t>Corrida de blocks colineales; union por columna/mocheta; esquina al muro mas largo</t>
        </is>
      </c>
      <c r="T102" s="5" t="inlineStr">
        <is>
          <t>Tramo corto: verificar</t>
        </is>
      </c>
    </row>
    <row r="103">
      <c r="A103" s="5" t="inlineStr">
        <is>
          <t>NIVEL 1</t>
        </is>
      </c>
      <c r="B103" s="5" t="inlineStr">
        <is>
          <t>N1-51</t>
        </is>
      </c>
      <c r="C103" s="5" t="inlineStr">
        <is>
          <t>Muro de 15cm</t>
        </is>
      </c>
      <c r="D103" s="6" t="n">
        <v>0.15</v>
      </c>
      <c r="E103" s="8" t="n">
        <v>1.81</v>
      </c>
      <c r="F103" s="8" t="n">
        <v>5.498</v>
      </c>
      <c r="G103" s="8" t="n">
        <v>1.61</v>
      </c>
      <c r="H103" s="8" t="n">
        <v>5.581</v>
      </c>
      <c r="I103" s="8" t="n">
        <v>0.217</v>
      </c>
      <c r="J103" s="5" t="n">
        <v>0</v>
      </c>
      <c r="K103" s="8" t="n">
        <v>0</v>
      </c>
      <c r="L103" s="8">
        <f>I103-K103</f>
        <v/>
      </c>
      <c r="M103" s="5" t="inlineStr">
        <is>
          <t>Piso NPT 0.00 (ejes 5-6, A-C)</t>
        </is>
      </c>
      <c r="N103" s="6">
        <f>VLOOKUP(A103&amp;"|"&amp;M103,PARAMETROS!$A$4:$B$9,2,FALSE)</f>
        <v/>
      </c>
      <c r="O103" s="8">
        <f>I103*N103</f>
        <v/>
      </c>
      <c r="P103" s="8">
        <f>K103*PARAMETROS!$B$10</f>
        <v/>
      </c>
      <c r="Q103" s="8">
        <f>O103-P103</f>
        <v/>
      </c>
      <c r="R103" s="5" t="inlineStr">
        <is>
          <t>S-3 EMPLANTILLADO NIVEL 1</t>
        </is>
      </c>
      <c r="S103" s="5" t="inlineStr">
        <is>
          <t>Corrida de blocks colineales; union por columna/mocheta; esquina al muro mas largo</t>
        </is>
      </c>
      <c r="T103" s="5" t="inlineStr">
        <is>
          <t>Tramo corto: verificar</t>
        </is>
      </c>
    </row>
    <row r="104">
      <c r="A104" s="5" t="inlineStr">
        <is>
          <t>NIVEL 1</t>
        </is>
      </c>
      <c r="B104" s="5" t="inlineStr">
        <is>
          <t>N1-52</t>
        </is>
      </c>
      <c r="C104" s="5" t="inlineStr">
        <is>
          <t>Muro perimetral de 15cm</t>
        </is>
      </c>
      <c r="D104" s="6" t="n">
        <v>0.15</v>
      </c>
      <c r="E104" s="8" t="n">
        <v>1.856</v>
      </c>
      <c r="F104" s="8" t="n">
        <v>-22.115</v>
      </c>
      <c r="G104" s="8" t="n">
        <v>-2.6</v>
      </c>
      <c r="H104" s="8" t="n">
        <v>-21.01</v>
      </c>
      <c r="I104" s="8" t="n">
        <v>4.591</v>
      </c>
      <c r="J104" s="5" t="n">
        <v>0</v>
      </c>
      <c r="K104" s="8" t="n">
        <v>0</v>
      </c>
      <c r="L104" s="8">
        <f>I104-K104</f>
        <v/>
      </c>
      <c r="M104" s="5" t="inlineStr">
        <is>
          <t>General</t>
        </is>
      </c>
      <c r="N104" s="6">
        <f>VLOOKUP(A104&amp;"|"&amp;M104,PARAMETROS!$A$4:$B$9,2,FALSE)</f>
        <v/>
      </c>
      <c r="O104" s="8">
        <f>I104*N104</f>
        <v/>
      </c>
      <c r="P104" s="8">
        <f>K104*PARAMETROS!$B$10</f>
        <v/>
      </c>
      <c r="Q104" s="8">
        <f>O104-P104</f>
        <v/>
      </c>
      <c r="R104" s="5" t="inlineStr">
        <is>
          <t>S-3 EMPLANTILLADO NIVEL 1</t>
        </is>
      </c>
      <c r="S104" s="5" t="inlineStr">
        <is>
          <t>Corrida de blocks colineales; union por columna/mocheta; esquina al muro mas largo</t>
        </is>
      </c>
      <c r="T104" s="5" t="inlineStr"/>
    </row>
    <row r="105">
      <c r="A105" s="5" t="inlineStr">
        <is>
          <t>NIVEL 1</t>
        </is>
      </c>
      <c r="B105" s="5" t="inlineStr">
        <is>
          <t>N1-53</t>
        </is>
      </c>
      <c r="C105" s="5" t="inlineStr">
        <is>
          <t>Muro perimetral de 15cm</t>
        </is>
      </c>
      <c r="D105" s="6" t="n">
        <v>0.15</v>
      </c>
      <c r="E105" s="8" t="n">
        <v>-2.6</v>
      </c>
      <c r="F105" s="8" t="n">
        <v>-21.01</v>
      </c>
      <c r="G105" s="8" t="n">
        <v>-32.744</v>
      </c>
      <c r="H105" s="8" t="n">
        <v>-13.539</v>
      </c>
      <c r="I105" s="8" t="n">
        <v>31.056</v>
      </c>
      <c r="J105" s="5" t="n">
        <v>0</v>
      </c>
      <c r="K105" s="8" t="n">
        <v>0</v>
      </c>
      <c r="L105" s="8">
        <f>I105-K105</f>
        <v/>
      </c>
      <c r="M105" s="5" t="inlineStr">
        <is>
          <t>General</t>
        </is>
      </c>
      <c r="N105" s="6">
        <f>VLOOKUP(A105&amp;"|"&amp;M105,PARAMETROS!$A$4:$B$9,2,FALSE)</f>
        <v/>
      </c>
      <c r="O105" s="8">
        <f>I105*N105</f>
        <v/>
      </c>
      <c r="P105" s="8">
        <f>K105*PARAMETROS!$B$10</f>
        <v/>
      </c>
      <c r="Q105" s="8">
        <f>O105-P105</f>
        <v/>
      </c>
      <c r="R105" s="5" t="inlineStr">
        <is>
          <t>S-3 EMPLANTILLADO NIVEL 1</t>
        </is>
      </c>
      <c r="S105" s="5" t="inlineStr">
        <is>
          <t>Corrida de blocks colineales; union por columna/mocheta; esquina al muro mas largo</t>
        </is>
      </c>
      <c r="T105" s="5" t="inlineStr"/>
    </row>
    <row r="106">
      <c r="A106" s="5" t="inlineStr">
        <is>
          <t>NIVEL 2</t>
        </is>
      </c>
      <c r="B106" s="5" t="inlineStr">
        <is>
          <t>N2-01</t>
        </is>
      </c>
      <c r="C106" s="5" t="inlineStr">
        <is>
          <t>Muro de 10cm</t>
        </is>
      </c>
      <c r="D106" s="6" t="n">
        <v>0.1</v>
      </c>
      <c r="E106" s="8" t="n">
        <v>-21.627</v>
      </c>
      <c r="F106" s="8" t="n">
        <v>-10.187</v>
      </c>
      <c r="G106" s="8" t="n">
        <v>-20.414</v>
      </c>
      <c r="H106" s="8" t="n">
        <v>-8.362</v>
      </c>
      <c r="I106" s="8" t="n">
        <v>2.191</v>
      </c>
      <c r="J106" s="5" t="n">
        <v>0</v>
      </c>
      <c r="K106" s="8" t="n">
        <v>0</v>
      </c>
      <c r="L106" s="8">
        <f>I106-K106</f>
        <v/>
      </c>
      <c r="M106" s="5" t="inlineStr">
        <is>
          <t>General</t>
        </is>
      </c>
      <c r="N106" s="6">
        <f>VLOOKUP(A106&amp;"|"&amp;M106,PARAMETROS!$A$4:$B$9,2,FALSE)</f>
        <v/>
      </c>
      <c r="O106" s="8">
        <f>I106*N106</f>
        <v/>
      </c>
      <c r="P106" s="8">
        <f>K106*PARAMETROS!$B$10</f>
        <v/>
      </c>
      <c r="Q106" s="8">
        <f>O106-P106</f>
        <v/>
      </c>
      <c r="R106" s="5" t="inlineStr">
        <is>
          <t>S-5 EMPLANTILLADO NIVEL 2</t>
        </is>
      </c>
      <c r="S106" s="5" t="inlineStr">
        <is>
          <t>Corrida de blocks colineales; union por columna/mocheta; esquina al muro mas largo</t>
        </is>
      </c>
      <c r="T106" s="5" t="inlineStr"/>
    </row>
    <row r="107">
      <c r="A107" s="5" t="inlineStr">
        <is>
          <t>NIVEL 2</t>
        </is>
      </c>
      <c r="B107" s="5" t="inlineStr">
        <is>
          <t>N2-02</t>
        </is>
      </c>
      <c r="C107" s="5" t="inlineStr">
        <is>
          <t>Muro de 10cm</t>
        </is>
      </c>
      <c r="D107" s="6" t="n">
        <v>0.1</v>
      </c>
      <c r="E107" s="8" t="n">
        <v>-21.917</v>
      </c>
      <c r="F107" s="8" t="n">
        <v>-9.548999999999999</v>
      </c>
      <c r="G107" s="8" t="n">
        <v>-21.284</v>
      </c>
      <c r="H107" s="8" t="n">
        <v>-8.597</v>
      </c>
      <c r="I107" s="8" t="n">
        <v>1.143</v>
      </c>
      <c r="J107" s="5" t="n">
        <v>0</v>
      </c>
      <c r="K107" s="8" t="n">
        <v>0</v>
      </c>
      <c r="L107" s="8">
        <f>I107-K107</f>
        <v/>
      </c>
      <c r="M107" s="5" t="inlineStr">
        <is>
          <t>General</t>
        </is>
      </c>
      <c r="N107" s="6">
        <f>VLOOKUP(A107&amp;"|"&amp;M107,PARAMETROS!$A$4:$B$9,2,FALSE)</f>
        <v/>
      </c>
      <c r="O107" s="8">
        <f>I107*N107</f>
        <v/>
      </c>
      <c r="P107" s="8">
        <f>K107*PARAMETROS!$B$10</f>
        <v/>
      </c>
      <c r="Q107" s="8">
        <f>O107-P107</f>
        <v/>
      </c>
      <c r="R107" s="5" t="inlineStr">
        <is>
          <t>S-5 EMPLANTILLADO NIVEL 2</t>
        </is>
      </c>
      <c r="S107" s="5" t="inlineStr">
        <is>
          <t>Corrida de blocks colineales; union por columna/mocheta; esquina al muro mas largo</t>
        </is>
      </c>
      <c r="T107" s="5" t="inlineStr"/>
    </row>
    <row r="108">
      <c r="A108" s="5" t="inlineStr">
        <is>
          <t>NIVEL 2</t>
        </is>
      </c>
      <c r="B108" s="5" t="inlineStr">
        <is>
          <t>N2-03</t>
        </is>
      </c>
      <c r="C108" s="5" t="inlineStr">
        <is>
          <t>Muro de 10cm</t>
        </is>
      </c>
      <c r="D108" s="6" t="n">
        <v>0.1</v>
      </c>
      <c r="E108" s="8" t="n">
        <v>-25.355</v>
      </c>
      <c r="F108" s="8" t="n">
        <v>-7.263</v>
      </c>
      <c r="G108" s="8" t="n">
        <v>-24.348</v>
      </c>
      <c r="H108" s="8" t="n">
        <v>-5.748</v>
      </c>
      <c r="I108" s="8" t="n">
        <v>1.82</v>
      </c>
      <c r="J108" s="5" t="n">
        <v>0</v>
      </c>
      <c r="K108" s="8" t="n">
        <v>0</v>
      </c>
      <c r="L108" s="8">
        <f>I108-K108</f>
        <v/>
      </c>
      <c r="M108" s="5" t="inlineStr">
        <is>
          <t>General</t>
        </is>
      </c>
      <c r="N108" s="6">
        <f>VLOOKUP(A108&amp;"|"&amp;M108,PARAMETROS!$A$4:$B$9,2,FALSE)</f>
        <v/>
      </c>
      <c r="O108" s="8">
        <f>I108*N108</f>
        <v/>
      </c>
      <c r="P108" s="8">
        <f>K108*PARAMETROS!$B$10</f>
        <v/>
      </c>
      <c r="Q108" s="8">
        <f>O108-P108</f>
        <v/>
      </c>
      <c r="R108" s="5" t="inlineStr">
        <is>
          <t>S-5 EMPLANTILLADO NIVEL 2</t>
        </is>
      </c>
      <c r="S108" s="5" t="inlineStr">
        <is>
          <t>Corrida de blocks colineales; union por columna/mocheta; esquina al muro mas largo</t>
        </is>
      </c>
      <c r="T108" s="5" t="inlineStr"/>
    </row>
    <row r="109">
      <c r="A109" s="5" t="inlineStr">
        <is>
          <t>NIVEL 2</t>
        </is>
      </c>
      <c r="B109" s="5" t="inlineStr">
        <is>
          <t>N2-04</t>
        </is>
      </c>
      <c r="C109" s="5" t="inlineStr">
        <is>
          <t>Muro de 15cm</t>
        </is>
      </c>
      <c r="D109" s="6" t="n">
        <v>0.15</v>
      </c>
      <c r="E109" s="8" t="n">
        <v>-15.959</v>
      </c>
      <c r="F109" s="8" t="n">
        <v>-13.955</v>
      </c>
      <c r="G109" s="8" t="n">
        <v>-15.738</v>
      </c>
      <c r="H109" s="8" t="n">
        <v>-13.622</v>
      </c>
      <c r="I109" s="8" t="n">
        <v>0.4</v>
      </c>
      <c r="J109" s="5" t="n">
        <v>0</v>
      </c>
      <c r="K109" s="8" t="n">
        <v>0</v>
      </c>
      <c r="L109" s="8">
        <f>I109-K109</f>
        <v/>
      </c>
      <c r="M109" s="5" t="inlineStr">
        <is>
          <t>General</t>
        </is>
      </c>
      <c r="N109" s="6">
        <f>VLOOKUP(A109&amp;"|"&amp;M109,PARAMETROS!$A$4:$B$9,2,FALSE)</f>
        <v/>
      </c>
      <c r="O109" s="8">
        <f>I109*N109</f>
        <v/>
      </c>
      <c r="P109" s="8">
        <f>K109*PARAMETROS!$B$10</f>
        <v/>
      </c>
      <c r="Q109" s="8">
        <f>O109-P109</f>
        <v/>
      </c>
      <c r="R109" s="5" t="inlineStr">
        <is>
          <t>S-5 EMPLANTILLADO NIVEL 2</t>
        </is>
      </c>
      <c r="S109" s="5" t="inlineStr">
        <is>
          <t>Corrida de blocks colineales; union por columna/mocheta; esquina al muro mas largo</t>
        </is>
      </c>
      <c r="T109" s="5" t="inlineStr">
        <is>
          <t>Tramo corto: verificar</t>
        </is>
      </c>
    </row>
    <row r="110">
      <c r="A110" s="5" t="inlineStr">
        <is>
          <t>NIVEL 2</t>
        </is>
      </c>
      <c r="B110" s="5" t="inlineStr">
        <is>
          <t>N2-05</t>
        </is>
      </c>
      <c r="C110" s="5" t="inlineStr">
        <is>
          <t>Muro de 15cm</t>
        </is>
      </c>
      <c r="D110" s="6" t="n">
        <v>0.15</v>
      </c>
      <c r="E110" s="8" t="n">
        <v>-14.506</v>
      </c>
      <c r="F110" s="8" t="n">
        <v>-9.999000000000001</v>
      </c>
      <c r="G110" s="8" t="n">
        <v>-14.104</v>
      </c>
      <c r="H110" s="8" t="n">
        <v>-9.395</v>
      </c>
      <c r="I110" s="8" t="n">
        <v>0.725</v>
      </c>
      <c r="J110" s="5" t="n">
        <v>0</v>
      </c>
      <c r="K110" s="8" t="n">
        <v>0</v>
      </c>
      <c r="L110" s="8">
        <f>I110-K110</f>
        <v/>
      </c>
      <c r="M110" s="5" t="inlineStr">
        <is>
          <t>General</t>
        </is>
      </c>
      <c r="N110" s="6">
        <f>VLOOKUP(A110&amp;"|"&amp;M110,PARAMETROS!$A$4:$B$9,2,FALSE)</f>
        <v/>
      </c>
      <c r="O110" s="8">
        <f>I110*N110</f>
        <v/>
      </c>
      <c r="P110" s="8">
        <f>K110*PARAMETROS!$B$10</f>
        <v/>
      </c>
      <c r="Q110" s="8">
        <f>O110-P110</f>
        <v/>
      </c>
      <c r="R110" s="5" t="inlineStr">
        <is>
          <t>S-5 EMPLANTILLADO NIVEL 2</t>
        </is>
      </c>
      <c r="S110" s="5" t="inlineStr">
        <is>
          <t>Corrida de blocks colineales; union por columna/mocheta; esquina al muro mas largo</t>
        </is>
      </c>
      <c r="T110" s="5" t="inlineStr"/>
    </row>
    <row r="111">
      <c r="A111" s="5" t="inlineStr">
        <is>
          <t>NIVEL 2</t>
        </is>
      </c>
      <c r="B111" s="5" t="inlineStr">
        <is>
          <t>N2-06</t>
        </is>
      </c>
      <c r="C111" s="5" t="inlineStr">
        <is>
          <t>Muro de 15cm</t>
        </is>
      </c>
      <c r="D111" s="6" t="n">
        <v>0.15</v>
      </c>
      <c r="E111" s="8" t="n">
        <v>-16.159</v>
      </c>
      <c r="F111" s="8" t="n">
        <v>-2.227</v>
      </c>
      <c r="G111" s="8" t="n">
        <v>-13.625</v>
      </c>
      <c r="H111" s="8" t="n">
        <v>1.586</v>
      </c>
      <c r="I111" s="8" t="n">
        <v>4.579</v>
      </c>
      <c r="J111" s="5" t="n">
        <v>1</v>
      </c>
      <c r="K111" s="8" t="n">
        <v>0.9</v>
      </c>
      <c r="L111" s="8">
        <f>I111-K111</f>
        <v/>
      </c>
      <c r="M111" s="5" t="inlineStr">
        <is>
          <t>General</t>
        </is>
      </c>
      <c r="N111" s="6">
        <f>VLOOKUP(A111&amp;"|"&amp;M111,PARAMETROS!$A$4:$B$9,2,FALSE)</f>
        <v/>
      </c>
      <c r="O111" s="8">
        <f>I111*N111</f>
        <v/>
      </c>
      <c r="P111" s="8">
        <f>K111*PARAMETROS!$B$10</f>
        <v/>
      </c>
      <c r="Q111" s="8">
        <f>O111-P111</f>
        <v/>
      </c>
      <c r="R111" s="5" t="inlineStr">
        <is>
          <t>S-5 EMPLANTILLADO NIVEL 2</t>
        </is>
      </c>
      <c r="S111" s="5" t="inlineStr">
        <is>
          <t>Corrida de blocks colineales; union por columna/mocheta; esquina al muro mas largo</t>
        </is>
      </c>
      <c r="T111" s="5" t="inlineStr"/>
    </row>
    <row r="112">
      <c r="A112" s="5" t="inlineStr">
        <is>
          <t>NIVEL 2</t>
        </is>
      </c>
      <c r="B112" s="5" t="inlineStr">
        <is>
          <t>N2-07</t>
        </is>
      </c>
      <c r="C112" s="5" t="inlineStr">
        <is>
          <t>Muro de 15cm</t>
        </is>
      </c>
      <c r="D112" s="6" t="n">
        <v>0.15</v>
      </c>
      <c r="E112" s="8" t="n">
        <v>-21.893</v>
      </c>
      <c r="F112" s="8" t="n">
        <v>-10.191</v>
      </c>
      <c r="G112" s="8" t="n">
        <v>-20.956</v>
      </c>
      <c r="H112" s="8" t="n">
        <v>-8.779999999999999</v>
      </c>
      <c r="I112" s="8" t="n">
        <v>1.693</v>
      </c>
      <c r="J112" s="5" t="n">
        <v>0</v>
      </c>
      <c r="K112" s="8" t="n">
        <v>0</v>
      </c>
      <c r="L112" s="8">
        <f>I112-K112</f>
        <v/>
      </c>
      <c r="M112" s="5" t="inlineStr">
        <is>
          <t>General</t>
        </is>
      </c>
      <c r="N112" s="6">
        <f>VLOOKUP(A112&amp;"|"&amp;M112,PARAMETROS!$A$4:$B$9,2,FALSE)</f>
        <v/>
      </c>
      <c r="O112" s="8">
        <f>I112*N112</f>
        <v/>
      </c>
      <c r="P112" s="8">
        <f>K112*PARAMETROS!$B$10</f>
        <v/>
      </c>
      <c r="Q112" s="8">
        <f>O112-P112</f>
        <v/>
      </c>
      <c r="R112" s="5" t="inlineStr">
        <is>
          <t>S-5 EMPLANTILLADO NIVEL 2</t>
        </is>
      </c>
      <c r="S112" s="5" t="inlineStr">
        <is>
          <t>Corrida de blocks colineales; union por columna/mocheta; esquina al muro mas largo</t>
        </is>
      </c>
      <c r="T112" s="5" t="inlineStr"/>
    </row>
    <row r="113">
      <c r="A113" s="5" t="inlineStr">
        <is>
          <t>NIVEL 2</t>
        </is>
      </c>
      <c r="B113" s="5" t="inlineStr">
        <is>
          <t>N2-08</t>
        </is>
      </c>
      <c r="C113" s="5" t="inlineStr">
        <is>
          <t>Muro de 15cm</t>
        </is>
      </c>
      <c r="D113" s="6" t="n">
        <v>0.15</v>
      </c>
      <c r="E113" s="8" t="n">
        <v>-19.838</v>
      </c>
      <c r="F113" s="8" t="n">
        <v>-7.054</v>
      </c>
      <c r="G113" s="8" t="n">
        <v>-19.15</v>
      </c>
      <c r="H113" s="8" t="n">
        <v>-6.019</v>
      </c>
      <c r="I113" s="8" t="n">
        <v>1.244</v>
      </c>
      <c r="J113" s="5" t="n">
        <v>0</v>
      </c>
      <c r="K113" s="8" t="n">
        <v>0</v>
      </c>
      <c r="L113" s="8">
        <f>I113-K113</f>
        <v/>
      </c>
      <c r="M113" s="5" t="inlineStr">
        <is>
          <t>General</t>
        </is>
      </c>
      <c r="N113" s="6">
        <f>VLOOKUP(A113&amp;"|"&amp;M113,PARAMETROS!$A$4:$B$9,2,FALSE)</f>
        <v/>
      </c>
      <c r="O113" s="8">
        <f>I113*N113</f>
        <v/>
      </c>
      <c r="P113" s="8">
        <f>K113*PARAMETROS!$B$10</f>
        <v/>
      </c>
      <c r="Q113" s="8">
        <f>O113-P113</f>
        <v/>
      </c>
      <c r="R113" s="5" t="inlineStr">
        <is>
          <t>S-5 EMPLANTILLADO NIVEL 2</t>
        </is>
      </c>
      <c r="S113" s="5" t="inlineStr">
        <is>
          <t>Corrida de blocks colineales; union por columna/mocheta; esquina al muro mas largo</t>
        </is>
      </c>
      <c r="T113" s="5" t="inlineStr"/>
    </row>
    <row r="114">
      <c r="A114" s="5" t="inlineStr">
        <is>
          <t>NIVEL 2</t>
        </is>
      </c>
      <c r="B114" s="5" t="inlineStr">
        <is>
          <t>N2-09</t>
        </is>
      </c>
      <c r="C114" s="5" t="inlineStr">
        <is>
          <t>Muro de 15cm</t>
        </is>
      </c>
      <c r="D114" s="6" t="n">
        <v>0.15</v>
      </c>
      <c r="E114" s="8" t="n">
        <v>-20.291</v>
      </c>
      <c r="F114" s="8" t="n">
        <v>-5.282</v>
      </c>
      <c r="G114" s="8" t="n">
        <v>-15.235</v>
      </c>
      <c r="H114" s="8" t="n">
        <v>2.326</v>
      </c>
      <c r="I114" s="8" t="n">
        <v>9.135</v>
      </c>
      <c r="J114" s="5" t="n">
        <v>1</v>
      </c>
      <c r="K114" s="8" t="n">
        <v>0.9</v>
      </c>
      <c r="L114" s="8">
        <f>I114-K114</f>
        <v/>
      </c>
      <c r="M114" s="5" t="inlineStr">
        <is>
          <t>General</t>
        </is>
      </c>
      <c r="N114" s="6">
        <f>VLOOKUP(A114&amp;"|"&amp;M114,PARAMETROS!$A$4:$B$9,2,FALSE)</f>
        <v/>
      </c>
      <c r="O114" s="8">
        <f>I114*N114</f>
        <v/>
      </c>
      <c r="P114" s="8">
        <f>K114*PARAMETROS!$B$10</f>
        <v/>
      </c>
      <c r="Q114" s="8">
        <f>O114-P114</f>
        <v/>
      </c>
      <c r="R114" s="5" t="inlineStr">
        <is>
          <t>S-5 EMPLANTILLADO NIVEL 2</t>
        </is>
      </c>
      <c r="S114" s="5" t="inlineStr">
        <is>
          <t>Corrida de blocks colineales; union por columna/mocheta; esquina al muro mas largo</t>
        </is>
      </c>
      <c r="T114" s="5" t="inlineStr"/>
    </row>
    <row r="115">
      <c r="A115" s="5" t="inlineStr">
        <is>
          <t>NIVEL 2</t>
        </is>
      </c>
      <c r="B115" s="5" t="inlineStr">
        <is>
          <t>N2-10</t>
        </is>
      </c>
      <c r="C115" s="5" t="inlineStr">
        <is>
          <t>Muro de 15cm</t>
        </is>
      </c>
      <c r="D115" s="6" t="n">
        <v>0.15</v>
      </c>
      <c r="E115" s="8" t="n">
        <v>-21.747</v>
      </c>
      <c r="F115" s="8" t="n">
        <v>-3.594</v>
      </c>
      <c r="G115" s="8" t="n">
        <v>-20.449</v>
      </c>
      <c r="H115" s="8" t="n">
        <v>-1.641</v>
      </c>
      <c r="I115" s="8" t="n">
        <v>2.346</v>
      </c>
      <c r="J115" s="5" t="n">
        <v>1</v>
      </c>
      <c r="K115" s="8" t="n">
        <v>0.8100000000000001</v>
      </c>
      <c r="L115" s="8">
        <f>I115-K115</f>
        <v/>
      </c>
      <c r="M115" s="5" t="inlineStr">
        <is>
          <t>General</t>
        </is>
      </c>
      <c r="N115" s="6">
        <f>VLOOKUP(A115&amp;"|"&amp;M115,PARAMETROS!$A$4:$B$9,2,FALSE)</f>
        <v/>
      </c>
      <c r="O115" s="8">
        <f>I115*N115</f>
        <v/>
      </c>
      <c r="P115" s="8">
        <f>K115*PARAMETROS!$B$10</f>
        <v/>
      </c>
      <c r="Q115" s="8">
        <f>O115-P115</f>
        <v/>
      </c>
      <c r="R115" s="5" t="inlineStr">
        <is>
          <t>S-5 EMPLANTILLADO NIVEL 2</t>
        </is>
      </c>
      <c r="S115" s="5" t="inlineStr">
        <is>
          <t>Corrida de blocks colineales; union por columna/mocheta; esquina al muro mas largo</t>
        </is>
      </c>
      <c r="T115" s="5" t="inlineStr"/>
    </row>
    <row r="116">
      <c r="A116" s="5" t="inlineStr">
        <is>
          <t>NIVEL 2</t>
        </is>
      </c>
      <c r="B116" s="5" t="inlineStr">
        <is>
          <t>N2-11</t>
        </is>
      </c>
      <c r="C116" s="5" t="inlineStr">
        <is>
          <t>Muro de 15cm</t>
        </is>
      </c>
      <c r="D116" s="6" t="n">
        <v>0.15</v>
      </c>
      <c r="E116" s="8" t="n">
        <v>-23.316</v>
      </c>
      <c r="F116" s="8" t="n">
        <v>-3.332</v>
      </c>
      <c r="G116" s="8" t="n">
        <v>-22.596</v>
      </c>
      <c r="H116" s="8" t="n">
        <v>-2.249</v>
      </c>
      <c r="I116" s="8" t="n">
        <v>1.3</v>
      </c>
      <c r="J116" s="5" t="n">
        <v>0</v>
      </c>
      <c r="K116" s="8" t="n">
        <v>0</v>
      </c>
      <c r="L116" s="8">
        <f>I116-K116</f>
        <v/>
      </c>
      <c r="M116" s="5" t="inlineStr">
        <is>
          <t>General</t>
        </is>
      </c>
      <c r="N116" s="6">
        <f>VLOOKUP(A116&amp;"|"&amp;M116,PARAMETROS!$A$4:$B$9,2,FALSE)</f>
        <v/>
      </c>
      <c r="O116" s="8">
        <f>I116*N116</f>
        <v/>
      </c>
      <c r="P116" s="8">
        <f>K116*PARAMETROS!$B$10</f>
        <v/>
      </c>
      <c r="Q116" s="8">
        <f>O116-P116</f>
        <v/>
      </c>
      <c r="R116" s="5" t="inlineStr">
        <is>
          <t>S-5 EMPLANTILLADO NIVEL 2</t>
        </is>
      </c>
      <c r="S116" s="5" t="inlineStr">
        <is>
          <t>Corrida de blocks colineales; union por columna/mocheta; esquina al muro mas largo</t>
        </is>
      </c>
      <c r="T116" s="5" t="inlineStr"/>
    </row>
    <row r="117">
      <c r="A117" s="5" t="inlineStr">
        <is>
          <t>NIVEL 2</t>
        </is>
      </c>
      <c r="B117" s="5" t="inlineStr">
        <is>
          <t>N2-12</t>
        </is>
      </c>
      <c r="C117" s="5" t="inlineStr">
        <is>
          <t>Muro de 15cm</t>
        </is>
      </c>
      <c r="D117" s="6" t="n">
        <v>0.15</v>
      </c>
      <c r="E117" s="8" t="n">
        <v>-26.348</v>
      </c>
      <c r="F117" s="8" t="n">
        <v>-7.229</v>
      </c>
      <c r="G117" s="8" t="n">
        <v>-26.132</v>
      </c>
      <c r="H117" s="8" t="n">
        <v>-6.904</v>
      </c>
      <c r="I117" s="8" t="n">
        <v>0.39</v>
      </c>
      <c r="J117" s="5" t="n">
        <v>0</v>
      </c>
      <c r="K117" s="8" t="n">
        <v>0</v>
      </c>
      <c r="L117" s="8">
        <f>I117-K117</f>
        <v/>
      </c>
      <c r="M117" s="5" t="inlineStr">
        <is>
          <t>General</t>
        </is>
      </c>
      <c r="N117" s="6">
        <f>VLOOKUP(A117&amp;"|"&amp;M117,PARAMETROS!$A$4:$B$9,2,FALSE)</f>
        <v/>
      </c>
      <c r="O117" s="8">
        <f>I117*N117</f>
        <v/>
      </c>
      <c r="P117" s="8">
        <f>K117*PARAMETROS!$B$10</f>
        <v/>
      </c>
      <c r="Q117" s="8">
        <f>O117-P117</f>
        <v/>
      </c>
      <c r="R117" s="5" t="inlineStr">
        <is>
          <t>S-5 EMPLANTILLADO NIVEL 2</t>
        </is>
      </c>
      <c r="S117" s="5" t="inlineStr">
        <is>
          <t>Corrida de blocks colineales; union por columna/mocheta; esquina al muro mas largo</t>
        </is>
      </c>
      <c r="T117" s="5" t="inlineStr">
        <is>
          <t>Tramo corto: verificar</t>
        </is>
      </c>
    </row>
    <row r="118">
      <c r="A118" s="5" t="inlineStr">
        <is>
          <t>NIVEL 2</t>
        </is>
      </c>
      <c r="B118" s="5" t="inlineStr">
        <is>
          <t>N2-13</t>
        </is>
      </c>
      <c r="C118" s="5" t="inlineStr">
        <is>
          <t>Muro de 15cm</t>
        </is>
      </c>
      <c r="D118" s="6" t="n">
        <v>0.15</v>
      </c>
      <c r="E118" s="8" t="n">
        <v>-26.905</v>
      </c>
      <c r="F118" s="8" t="n">
        <v>-5.929</v>
      </c>
      <c r="G118" s="8" t="n">
        <v>-22.243</v>
      </c>
      <c r="H118" s="8" t="n">
        <v>1.086</v>
      </c>
      <c r="I118" s="8" t="n">
        <v>8.423</v>
      </c>
      <c r="J118" s="5" t="n">
        <v>0</v>
      </c>
      <c r="K118" s="8" t="n">
        <v>0</v>
      </c>
      <c r="L118" s="8">
        <f>I118-K118</f>
        <v/>
      </c>
      <c r="M118" s="5" t="inlineStr">
        <is>
          <t>General</t>
        </is>
      </c>
      <c r="N118" s="6">
        <f>VLOOKUP(A118&amp;"|"&amp;M118,PARAMETROS!$A$4:$B$9,2,FALSE)</f>
        <v/>
      </c>
      <c r="O118" s="8">
        <f>I118*N118</f>
        <v/>
      </c>
      <c r="P118" s="8">
        <f>K118*PARAMETROS!$B$10</f>
        <v/>
      </c>
      <c r="Q118" s="8">
        <f>O118-P118</f>
        <v/>
      </c>
      <c r="R118" s="5" t="inlineStr">
        <is>
          <t>S-5 EMPLANTILLADO NIVEL 2</t>
        </is>
      </c>
      <c r="S118" s="5" t="inlineStr">
        <is>
          <t>Corrida de blocks colineales; union por columna/mocheta; esquina al muro mas largo</t>
        </is>
      </c>
      <c r="T118" s="5" t="inlineStr"/>
    </row>
    <row r="119">
      <c r="A119" s="5" t="inlineStr">
        <is>
          <t>NIVEL 2</t>
        </is>
      </c>
      <c r="B119" s="5" t="inlineStr">
        <is>
          <t>N2-14</t>
        </is>
      </c>
      <c r="C119" s="5" t="inlineStr">
        <is>
          <t>Muro de contención de 30cm</t>
        </is>
      </c>
      <c r="D119" s="6" t="n">
        <v>0.3</v>
      </c>
      <c r="E119" s="8" t="n">
        <v>-16.505</v>
      </c>
      <c r="F119" s="8" t="n">
        <v>-13.142</v>
      </c>
      <c r="G119" s="8" t="n">
        <v>-14.402</v>
      </c>
      <c r="H119" s="8" t="n">
        <v>-9.978</v>
      </c>
      <c r="I119" s="8" t="n">
        <v>3.799</v>
      </c>
      <c r="J119" s="5" t="n">
        <v>0</v>
      </c>
      <c r="K119" s="8" t="n">
        <v>0</v>
      </c>
      <c r="L119" s="8">
        <f>I119-K119</f>
        <v/>
      </c>
      <c r="M119" s="5" t="inlineStr">
        <is>
          <t>General</t>
        </is>
      </c>
      <c r="N119" s="6">
        <f>VLOOKUP(A119&amp;"|"&amp;M119,PARAMETROS!$A$4:$B$9,2,FALSE)</f>
        <v/>
      </c>
      <c r="O119" s="8">
        <f>I119*N119</f>
        <v/>
      </c>
      <c r="P119" s="8">
        <f>K119*PARAMETROS!$B$10</f>
        <v/>
      </c>
      <c r="Q119" s="8">
        <f>O119-P119</f>
        <v/>
      </c>
      <c r="R119" s="5" t="inlineStr">
        <is>
          <t>S-5 EMPLANTILLADO NIVEL 2</t>
        </is>
      </c>
      <c r="S119" s="5" t="inlineStr">
        <is>
          <t>Corrida de blocks colineales; union por columna/mocheta; esquina al muro mas largo</t>
        </is>
      </c>
      <c r="T119" s="5" t="inlineStr"/>
    </row>
    <row r="120">
      <c r="A120" s="5" t="inlineStr">
        <is>
          <t>NIVEL 2</t>
        </is>
      </c>
      <c r="B120" s="5" t="inlineStr">
        <is>
          <t>N2-15</t>
        </is>
      </c>
      <c r="C120" s="5" t="inlineStr">
        <is>
          <t>Muro de 10cm</t>
        </is>
      </c>
      <c r="D120" s="6" t="n">
        <v>0.1</v>
      </c>
      <c r="E120" s="8" t="n">
        <v>1.539</v>
      </c>
      <c r="F120" s="8" t="n">
        <v>-3.564</v>
      </c>
      <c r="G120" s="8" t="n">
        <v>1.539</v>
      </c>
      <c r="H120" s="8" t="n">
        <v>0.929</v>
      </c>
      <c r="I120" s="8" t="n">
        <v>4.493</v>
      </c>
      <c r="J120" s="5" t="n">
        <v>0</v>
      </c>
      <c r="K120" s="8" t="n">
        <v>0</v>
      </c>
      <c r="L120" s="8">
        <f>I120-K120</f>
        <v/>
      </c>
      <c r="M120" s="5" t="inlineStr">
        <is>
          <t>General</t>
        </is>
      </c>
      <c r="N120" s="6">
        <f>VLOOKUP(A120&amp;"|"&amp;M120,PARAMETROS!$A$4:$B$9,2,FALSE)</f>
        <v/>
      </c>
      <c r="O120" s="8">
        <f>I120*N120</f>
        <v/>
      </c>
      <c r="P120" s="8">
        <f>K120*PARAMETROS!$B$10</f>
        <v/>
      </c>
      <c r="Q120" s="8">
        <f>O120-P120</f>
        <v/>
      </c>
      <c r="R120" s="5" t="inlineStr">
        <is>
          <t>S-5 EMPLANTILLADO NIVEL 2</t>
        </is>
      </c>
      <c r="S120" s="5" t="inlineStr">
        <is>
          <t>Corrida de blocks colineales; union por columna/mocheta; esquina al muro mas largo</t>
        </is>
      </c>
      <c r="T120" s="5" t="inlineStr"/>
    </row>
    <row r="121">
      <c r="A121" s="5" t="inlineStr">
        <is>
          <t>NIVEL 2</t>
        </is>
      </c>
      <c r="B121" s="5" t="inlineStr">
        <is>
          <t>N2-16</t>
        </is>
      </c>
      <c r="C121" s="5" t="inlineStr">
        <is>
          <t>Muro de 10cm</t>
        </is>
      </c>
      <c r="D121" s="6" t="n">
        <v>0.1</v>
      </c>
      <c r="E121" s="8" t="n">
        <v>-2.407</v>
      </c>
      <c r="F121" s="8" t="n">
        <v>-3.564</v>
      </c>
      <c r="G121" s="8" t="n">
        <v>-2.407</v>
      </c>
      <c r="H121" s="8" t="n">
        <v>1.529</v>
      </c>
      <c r="I121" s="8" t="n">
        <v>5.093</v>
      </c>
      <c r="J121" s="5" t="n">
        <v>0</v>
      </c>
      <c r="K121" s="8" t="n">
        <v>0</v>
      </c>
      <c r="L121" s="8">
        <f>I121-K121</f>
        <v/>
      </c>
      <c r="M121" s="5" t="inlineStr">
        <is>
          <t>General</t>
        </is>
      </c>
      <c r="N121" s="6">
        <f>VLOOKUP(A121&amp;"|"&amp;M121,PARAMETROS!$A$4:$B$9,2,FALSE)</f>
        <v/>
      </c>
      <c r="O121" s="8">
        <f>I121*N121</f>
        <v/>
      </c>
      <c r="P121" s="8">
        <f>K121*PARAMETROS!$B$10</f>
        <v/>
      </c>
      <c r="Q121" s="8">
        <f>O121-P121</f>
        <v/>
      </c>
      <c r="R121" s="5" t="inlineStr">
        <is>
          <t>S-5 EMPLANTILLADO NIVEL 2</t>
        </is>
      </c>
      <c r="S121" s="5" t="inlineStr">
        <is>
          <t>Corrida de blocks colineales; union por columna/mocheta; esquina al muro mas largo</t>
        </is>
      </c>
      <c r="T121" s="5" t="inlineStr">
        <is>
          <t>1 hueco(s) de columna/mocheta incluidos en la longitud</t>
        </is>
      </c>
    </row>
    <row r="122">
      <c r="A122" s="5" t="inlineStr">
        <is>
          <t>NIVEL 2</t>
        </is>
      </c>
      <c r="B122" s="5" t="inlineStr">
        <is>
          <t>N2-17</t>
        </is>
      </c>
      <c r="C122" s="5" t="inlineStr">
        <is>
          <t>Muro de 15cm</t>
        </is>
      </c>
      <c r="D122" s="6" t="n">
        <v>0.15</v>
      </c>
      <c r="E122" s="8" t="n">
        <v>1.814</v>
      </c>
      <c r="F122" s="8" t="n">
        <v>1.539</v>
      </c>
      <c r="G122" s="8" t="n">
        <v>1.814</v>
      </c>
      <c r="H122" s="8" t="n">
        <v>8.795</v>
      </c>
      <c r="I122" s="8" t="n">
        <v>7.256</v>
      </c>
      <c r="J122" s="5" t="n">
        <v>0</v>
      </c>
      <c r="K122" s="8" t="n">
        <v>0</v>
      </c>
      <c r="L122" s="8">
        <f>I122-K122</f>
        <v/>
      </c>
      <c r="M122" s="5" t="inlineStr">
        <is>
          <t>General</t>
        </is>
      </c>
      <c r="N122" s="6">
        <f>VLOOKUP(A122&amp;"|"&amp;M122,PARAMETROS!$A$4:$B$9,2,FALSE)</f>
        <v/>
      </c>
      <c r="O122" s="8">
        <f>I122*N122</f>
        <v/>
      </c>
      <c r="P122" s="8">
        <f>K122*PARAMETROS!$B$10</f>
        <v/>
      </c>
      <c r="Q122" s="8">
        <f>O122-P122</f>
        <v/>
      </c>
      <c r="R122" s="5" t="inlineStr">
        <is>
          <t>S-5 EMPLANTILLADO NIVEL 2</t>
        </is>
      </c>
      <c r="S122" s="5" t="inlineStr">
        <is>
          <t>Corrida de blocks colineales; union por columna/mocheta; esquina al muro mas largo</t>
        </is>
      </c>
      <c r="T122" s="5" t="inlineStr">
        <is>
          <t>1 hueco(s) de columna/mocheta incluidos en la longitud</t>
        </is>
      </c>
    </row>
    <row r="123">
      <c r="A123" s="5" t="inlineStr">
        <is>
          <t>NIVEL 2</t>
        </is>
      </c>
      <c r="B123" s="5" t="inlineStr">
        <is>
          <t>N2-18</t>
        </is>
      </c>
      <c r="C123" s="5" t="inlineStr">
        <is>
          <t>Muro de 15cm</t>
        </is>
      </c>
      <c r="D123" s="6" t="n">
        <v>0.15</v>
      </c>
      <c r="E123" s="8" t="n">
        <v>1.564</v>
      </c>
      <c r="F123" s="8" t="n">
        <v>7.885</v>
      </c>
      <c r="G123" s="8" t="n">
        <v>1.564</v>
      </c>
      <c r="H123" s="8" t="n">
        <v>8.795</v>
      </c>
      <c r="I123" s="8" t="n">
        <v>0.91</v>
      </c>
      <c r="J123" s="5" t="n">
        <v>0</v>
      </c>
      <c r="K123" s="8" t="n">
        <v>0</v>
      </c>
      <c r="L123" s="8">
        <f>I123-K123</f>
        <v/>
      </c>
      <c r="M123" s="5" t="inlineStr">
        <is>
          <t>General</t>
        </is>
      </c>
      <c r="N123" s="6">
        <f>VLOOKUP(A123&amp;"|"&amp;M123,PARAMETROS!$A$4:$B$9,2,FALSE)</f>
        <v/>
      </c>
      <c r="O123" s="8">
        <f>I123*N123</f>
        <v/>
      </c>
      <c r="P123" s="8">
        <f>K123*PARAMETROS!$B$10</f>
        <v/>
      </c>
      <c r="Q123" s="8">
        <f>O123-P123</f>
        <v/>
      </c>
      <c r="R123" s="5" t="inlineStr">
        <is>
          <t>S-5 EMPLANTILLADO NIVEL 2</t>
        </is>
      </c>
      <c r="S123" s="5" t="inlineStr">
        <is>
          <t>Corrida de blocks colineales; union por columna/mocheta; esquina al muro mas largo</t>
        </is>
      </c>
      <c r="T123" s="5" t="inlineStr"/>
    </row>
    <row r="124">
      <c r="A124" s="5" t="inlineStr">
        <is>
          <t>NIVEL 2</t>
        </is>
      </c>
      <c r="B124" s="5" t="inlineStr">
        <is>
          <t>N2-19</t>
        </is>
      </c>
      <c r="C124" s="5" t="inlineStr">
        <is>
          <t>Muro de 15cm</t>
        </is>
      </c>
      <c r="D124" s="6" t="n">
        <v>0.15</v>
      </c>
      <c r="E124" s="8" t="n">
        <v>-2.586</v>
      </c>
      <c r="F124" s="8" t="n">
        <v>3.186</v>
      </c>
      <c r="G124" s="8" t="n">
        <v>-2.586</v>
      </c>
      <c r="H124" s="8" t="n">
        <v>8.609999999999999</v>
      </c>
      <c r="I124" s="8" t="n">
        <v>5.424</v>
      </c>
      <c r="J124" s="5" t="n">
        <v>0</v>
      </c>
      <c r="K124" s="8" t="n">
        <v>0</v>
      </c>
      <c r="L124" s="8">
        <f>I124-K124</f>
        <v/>
      </c>
      <c r="M124" s="5" t="inlineStr">
        <is>
          <t>General</t>
        </is>
      </c>
      <c r="N124" s="6">
        <f>VLOOKUP(A124&amp;"|"&amp;M124,PARAMETROS!$A$4:$B$9,2,FALSE)</f>
        <v/>
      </c>
      <c r="O124" s="8">
        <f>I124*N124</f>
        <v/>
      </c>
      <c r="P124" s="8">
        <f>K124*PARAMETROS!$B$10</f>
        <v/>
      </c>
      <c r="Q124" s="8">
        <f>O124-P124</f>
        <v/>
      </c>
      <c r="R124" s="5" t="inlineStr">
        <is>
          <t>S-5 EMPLANTILLADO NIVEL 2</t>
        </is>
      </c>
      <c r="S124" s="5" t="inlineStr">
        <is>
          <t>Corrida de blocks colineales; union por columna/mocheta; esquina al muro mas largo</t>
        </is>
      </c>
      <c r="T124" s="5" t="inlineStr">
        <is>
          <t>1 hueco(s) de columna/mocheta incluidos en la longitud</t>
        </is>
      </c>
    </row>
    <row r="125">
      <c r="A125" s="5" t="inlineStr">
        <is>
          <t>NIVEL 2</t>
        </is>
      </c>
      <c r="B125" s="5" t="inlineStr">
        <is>
          <t>N2-20</t>
        </is>
      </c>
      <c r="C125" s="5" t="inlineStr">
        <is>
          <t>Muro de 15cm</t>
        </is>
      </c>
      <c r="D125" s="6" t="n">
        <v>0.15</v>
      </c>
      <c r="E125" s="8" t="n">
        <v>-2.682</v>
      </c>
      <c r="F125" s="8" t="n">
        <v>-2.35</v>
      </c>
      <c r="G125" s="8" t="n">
        <v>-2.682</v>
      </c>
      <c r="H125" s="8" t="n">
        <v>1.529</v>
      </c>
      <c r="I125" s="8" t="n">
        <v>3.879</v>
      </c>
      <c r="J125" s="5" t="n">
        <v>0</v>
      </c>
      <c r="K125" s="8" t="n">
        <v>0</v>
      </c>
      <c r="L125" s="8">
        <f>I125-K125</f>
        <v/>
      </c>
      <c r="M125" s="5" t="inlineStr">
        <is>
          <t>General</t>
        </is>
      </c>
      <c r="N125" s="6">
        <f>VLOOKUP(A125&amp;"|"&amp;M125,PARAMETROS!$A$4:$B$9,2,FALSE)</f>
        <v/>
      </c>
      <c r="O125" s="8">
        <f>I125*N125</f>
        <v/>
      </c>
      <c r="P125" s="8">
        <f>K125*PARAMETROS!$B$10</f>
        <v/>
      </c>
      <c r="Q125" s="8">
        <f>O125-P125</f>
        <v/>
      </c>
      <c r="R125" s="5" t="inlineStr">
        <is>
          <t>S-5 EMPLANTILLADO NIVEL 2</t>
        </is>
      </c>
      <c r="S125" s="5" t="inlineStr">
        <is>
          <t>Corrida de blocks colineales; union por columna/mocheta; esquina al muro mas largo</t>
        </is>
      </c>
      <c r="T125" s="5" t="inlineStr"/>
    </row>
    <row r="126">
      <c r="A126" s="5" t="inlineStr">
        <is>
          <t>NIVEL 2</t>
        </is>
      </c>
      <c r="B126" s="5" t="inlineStr">
        <is>
          <t>N2-21</t>
        </is>
      </c>
      <c r="C126" s="5" t="inlineStr">
        <is>
          <t>Muro de 15cm</t>
        </is>
      </c>
      <c r="D126" s="6" t="n">
        <v>0.15</v>
      </c>
      <c r="E126" s="8" t="n">
        <v>-4.336</v>
      </c>
      <c r="F126" s="8" t="n">
        <v>3.186</v>
      </c>
      <c r="G126" s="8" t="n">
        <v>-4.336</v>
      </c>
      <c r="H126" s="8" t="n">
        <v>8.609999999999999</v>
      </c>
      <c r="I126" s="8" t="n">
        <v>5.424</v>
      </c>
      <c r="J126" s="5" t="n">
        <v>1</v>
      </c>
      <c r="K126" s="8" t="n">
        <v>0.8</v>
      </c>
      <c r="L126" s="8">
        <f>I126-K126</f>
        <v/>
      </c>
      <c r="M126" s="5" t="inlineStr">
        <is>
          <t>General</t>
        </is>
      </c>
      <c r="N126" s="6">
        <f>VLOOKUP(A126&amp;"|"&amp;M126,PARAMETROS!$A$4:$B$9,2,FALSE)</f>
        <v/>
      </c>
      <c r="O126" s="8">
        <f>I126*N126</f>
        <v/>
      </c>
      <c r="P126" s="8">
        <f>K126*PARAMETROS!$B$10</f>
        <v/>
      </c>
      <c r="Q126" s="8">
        <f>O126-P126</f>
        <v/>
      </c>
      <c r="R126" s="5" t="inlineStr">
        <is>
          <t>S-5 EMPLANTILLADO NIVEL 2</t>
        </is>
      </c>
      <c r="S126" s="5" t="inlineStr">
        <is>
          <t>Corrida de blocks colineales; union por columna/mocheta; esquina al muro mas largo</t>
        </is>
      </c>
      <c r="T126" s="5" t="inlineStr"/>
    </row>
    <row r="127">
      <c r="A127" s="5" t="inlineStr">
        <is>
          <t>NIVEL 2</t>
        </is>
      </c>
      <c r="B127" s="5" t="inlineStr">
        <is>
          <t>N2-22</t>
        </is>
      </c>
      <c r="C127" s="5" t="inlineStr">
        <is>
          <t>Muro de 15cm</t>
        </is>
      </c>
      <c r="D127" s="6" t="n">
        <v>0.15</v>
      </c>
      <c r="E127" s="8" t="n">
        <v>-8.385999999999999</v>
      </c>
      <c r="F127" s="8" t="n">
        <v>3.186</v>
      </c>
      <c r="G127" s="8" t="n">
        <v>-8.385999999999999</v>
      </c>
      <c r="H127" s="8" t="n">
        <v>8.664</v>
      </c>
      <c r="I127" s="8" t="n">
        <v>5.478</v>
      </c>
      <c r="J127" s="5" t="n">
        <v>0</v>
      </c>
      <c r="K127" s="8" t="n">
        <v>0</v>
      </c>
      <c r="L127" s="8">
        <f>I127-K127</f>
        <v/>
      </c>
      <c r="M127" s="5" t="inlineStr">
        <is>
          <t>General</t>
        </is>
      </c>
      <c r="N127" s="6">
        <f>VLOOKUP(A127&amp;"|"&amp;M127,PARAMETROS!$A$4:$B$9,2,FALSE)</f>
        <v/>
      </c>
      <c r="O127" s="8">
        <f>I127*N127</f>
        <v/>
      </c>
      <c r="P127" s="8">
        <f>K127*PARAMETROS!$B$10</f>
        <v/>
      </c>
      <c r="Q127" s="8">
        <f>O127-P127</f>
        <v/>
      </c>
      <c r="R127" s="5" t="inlineStr">
        <is>
          <t>S-5 EMPLANTILLADO NIVEL 2</t>
        </is>
      </c>
      <c r="S127" s="5" t="inlineStr">
        <is>
          <t>Corrida de blocks colineales; union por columna/mocheta; esquina al muro mas largo</t>
        </is>
      </c>
      <c r="T127" s="5" t="inlineStr"/>
    </row>
    <row r="128">
      <c r="A128" s="5" t="inlineStr">
        <is>
          <t>NIVEL 2</t>
        </is>
      </c>
      <c r="B128" s="5" t="inlineStr">
        <is>
          <t>N2-23</t>
        </is>
      </c>
      <c r="C128" s="5" t="inlineStr">
        <is>
          <t>Muro de 15cm</t>
        </is>
      </c>
      <c r="D128" s="6" t="n">
        <v>0.15</v>
      </c>
      <c r="E128" s="8" t="n">
        <v>-9.616</v>
      </c>
      <c r="F128" s="8" t="n">
        <v>-2.664</v>
      </c>
      <c r="G128" s="8" t="n">
        <v>-9.616</v>
      </c>
      <c r="H128" s="8" t="n">
        <v>1.436</v>
      </c>
      <c r="I128" s="8" t="n">
        <v>4.1</v>
      </c>
      <c r="J128" s="5" t="n">
        <v>0</v>
      </c>
      <c r="K128" s="8" t="n">
        <v>0</v>
      </c>
      <c r="L128" s="8">
        <f>I128-K128</f>
        <v/>
      </c>
      <c r="M128" s="5" t="inlineStr">
        <is>
          <t>General</t>
        </is>
      </c>
      <c r="N128" s="6">
        <f>VLOOKUP(A128&amp;"|"&amp;M128,PARAMETROS!$A$4:$B$9,2,FALSE)</f>
        <v/>
      </c>
      <c r="O128" s="8">
        <f>I128*N128</f>
        <v/>
      </c>
      <c r="P128" s="8">
        <f>K128*PARAMETROS!$B$10</f>
        <v/>
      </c>
      <c r="Q128" s="8">
        <f>O128-P128</f>
        <v/>
      </c>
      <c r="R128" s="5" t="inlineStr">
        <is>
          <t>S-5 EMPLANTILLADO NIVEL 2</t>
        </is>
      </c>
      <c r="S128" s="5" t="inlineStr">
        <is>
          <t>Corrida de blocks colineales; union por columna/mocheta; esquina al muro mas largo</t>
        </is>
      </c>
      <c r="T128" s="5" t="inlineStr"/>
    </row>
    <row r="129">
      <c r="A129" s="5" t="inlineStr">
        <is>
          <t>NIVEL 2</t>
        </is>
      </c>
      <c r="B129" s="5" t="inlineStr">
        <is>
          <t>N2-24</t>
        </is>
      </c>
      <c r="C129" s="5" t="inlineStr">
        <is>
          <t>Muro de 15cm</t>
        </is>
      </c>
      <c r="D129" s="6" t="n">
        <v>0.15</v>
      </c>
      <c r="E129" s="8" t="n">
        <v>-10.136</v>
      </c>
      <c r="F129" s="8" t="n">
        <v>3.186</v>
      </c>
      <c r="G129" s="8" t="n">
        <v>-10.136</v>
      </c>
      <c r="H129" s="8" t="n">
        <v>8.609999999999999</v>
      </c>
      <c r="I129" s="8" t="n">
        <v>5.424</v>
      </c>
      <c r="J129" s="5" t="n">
        <v>1</v>
      </c>
      <c r="K129" s="8" t="n">
        <v>0.8</v>
      </c>
      <c r="L129" s="8">
        <f>I129-K129</f>
        <v/>
      </c>
      <c r="M129" s="5" t="inlineStr">
        <is>
          <t>General</t>
        </is>
      </c>
      <c r="N129" s="6">
        <f>VLOOKUP(A129&amp;"|"&amp;M129,PARAMETROS!$A$4:$B$9,2,FALSE)</f>
        <v/>
      </c>
      <c r="O129" s="8">
        <f>I129*N129</f>
        <v/>
      </c>
      <c r="P129" s="8">
        <f>K129*PARAMETROS!$B$10</f>
        <v/>
      </c>
      <c r="Q129" s="8">
        <f>O129-P129</f>
        <v/>
      </c>
      <c r="R129" s="5" t="inlineStr">
        <is>
          <t>S-5 EMPLANTILLADO NIVEL 2</t>
        </is>
      </c>
      <c r="S129" s="5" t="inlineStr">
        <is>
          <t>Corrida de blocks colineales; union por columna/mocheta; esquina al muro mas largo</t>
        </is>
      </c>
      <c r="T129" s="5" t="inlineStr"/>
    </row>
    <row r="130">
      <c r="A130" s="5" t="inlineStr">
        <is>
          <t>NIVEL 2</t>
        </is>
      </c>
      <c r="B130" s="5" t="inlineStr">
        <is>
          <t>N2-25</t>
        </is>
      </c>
      <c r="C130" s="5" t="inlineStr">
        <is>
          <t>Muro de 15cm</t>
        </is>
      </c>
      <c r="D130" s="6" t="n">
        <v>0.15</v>
      </c>
      <c r="E130" s="8" t="n">
        <v>-13.013</v>
      </c>
      <c r="F130" s="8" t="n">
        <v>-4.237</v>
      </c>
      <c r="G130" s="8" t="n">
        <v>-13.013</v>
      </c>
      <c r="H130" s="8" t="n">
        <v>1.436</v>
      </c>
      <c r="I130" s="8" t="n">
        <v>5.673</v>
      </c>
      <c r="J130" s="5" t="n">
        <v>0</v>
      </c>
      <c r="K130" s="8" t="n">
        <v>0</v>
      </c>
      <c r="L130" s="8">
        <f>I130-K130</f>
        <v/>
      </c>
      <c r="M130" s="5" t="inlineStr">
        <is>
          <t>General</t>
        </is>
      </c>
      <c r="N130" s="6">
        <f>VLOOKUP(A130&amp;"|"&amp;M130,PARAMETROS!$A$4:$B$9,2,FALSE)</f>
        <v/>
      </c>
      <c r="O130" s="8">
        <f>I130*N130</f>
        <v/>
      </c>
      <c r="P130" s="8">
        <f>K130*PARAMETROS!$B$10</f>
        <v/>
      </c>
      <c r="Q130" s="8">
        <f>O130-P130</f>
        <v/>
      </c>
      <c r="R130" s="5" t="inlineStr">
        <is>
          <t>S-5 EMPLANTILLADO NIVEL 2</t>
        </is>
      </c>
      <c r="S130" s="5" t="inlineStr">
        <is>
          <t>Corrida de blocks colineales; union por columna/mocheta; esquina al muro mas largo</t>
        </is>
      </c>
      <c r="T130" s="5" t="inlineStr"/>
    </row>
    <row r="131">
      <c r="A131" s="5" t="inlineStr">
        <is>
          <t>NIVEL 2</t>
        </is>
      </c>
      <c r="B131" s="5" t="inlineStr">
        <is>
          <t>N2-26</t>
        </is>
      </c>
      <c r="C131" s="5" t="inlineStr">
        <is>
          <t>Muro de 15cm</t>
        </is>
      </c>
      <c r="D131" s="6" t="n">
        <v>0.15</v>
      </c>
      <c r="E131" s="8" t="n">
        <v>-14.184</v>
      </c>
      <c r="F131" s="8" t="n">
        <v>3.186</v>
      </c>
      <c r="G131" s="8" t="n">
        <v>-14.184</v>
      </c>
      <c r="H131" s="8" t="n">
        <v>8.619999999999999</v>
      </c>
      <c r="I131" s="8" t="n">
        <v>5.434</v>
      </c>
      <c r="J131" s="5" t="n">
        <v>0</v>
      </c>
      <c r="K131" s="8" t="n">
        <v>0</v>
      </c>
      <c r="L131" s="8">
        <f>I131-K131</f>
        <v/>
      </c>
      <c r="M131" s="5" t="inlineStr">
        <is>
          <t>General</t>
        </is>
      </c>
      <c r="N131" s="6">
        <f>VLOOKUP(A131&amp;"|"&amp;M131,PARAMETROS!$A$4:$B$9,2,FALSE)</f>
        <v/>
      </c>
      <c r="O131" s="8">
        <f>I131*N131</f>
        <v/>
      </c>
      <c r="P131" s="8">
        <f>K131*PARAMETROS!$B$10</f>
        <v/>
      </c>
      <c r="Q131" s="8">
        <f>O131-P131</f>
        <v/>
      </c>
      <c r="R131" s="5" t="inlineStr">
        <is>
          <t>S-5 EMPLANTILLADO NIVEL 2</t>
        </is>
      </c>
      <c r="S131" s="5" t="inlineStr">
        <is>
          <t>Corrida de blocks colineales; union por columna/mocheta; esquina al muro mas largo</t>
        </is>
      </c>
      <c r="T131" s="5" t="inlineStr"/>
    </row>
    <row r="132">
      <c r="A132" s="5" t="inlineStr">
        <is>
          <t>NIVEL 2</t>
        </is>
      </c>
      <c r="B132" s="5" t="inlineStr">
        <is>
          <t>N2-27</t>
        </is>
      </c>
      <c r="C132" s="5" t="inlineStr">
        <is>
          <t>Muro de 15cm</t>
        </is>
      </c>
      <c r="D132" s="6" t="n">
        <v>0.15</v>
      </c>
      <c r="E132" s="8" t="n">
        <v>-15.734</v>
      </c>
      <c r="F132" s="8" t="n">
        <v>5.222</v>
      </c>
      <c r="G132" s="8" t="n">
        <v>-15.734</v>
      </c>
      <c r="H132" s="8" t="n">
        <v>8.619999999999999</v>
      </c>
      <c r="I132" s="8" t="n">
        <v>3.398</v>
      </c>
      <c r="J132" s="5" t="n">
        <v>1</v>
      </c>
      <c r="K132" s="8" t="n">
        <v>0.8</v>
      </c>
      <c r="L132" s="8">
        <f>I132-K132</f>
        <v/>
      </c>
      <c r="M132" s="5" t="inlineStr">
        <is>
          <t>General</t>
        </is>
      </c>
      <c r="N132" s="6">
        <f>VLOOKUP(A132&amp;"|"&amp;M132,PARAMETROS!$A$4:$B$9,2,FALSE)</f>
        <v/>
      </c>
      <c r="O132" s="8">
        <f>I132*N132</f>
        <v/>
      </c>
      <c r="P132" s="8">
        <f>K132*PARAMETROS!$B$10</f>
        <v/>
      </c>
      <c r="Q132" s="8">
        <f>O132-P132</f>
        <v/>
      </c>
      <c r="R132" s="5" t="inlineStr">
        <is>
          <t>S-5 EMPLANTILLADO NIVEL 2</t>
        </is>
      </c>
      <c r="S132" s="5" t="inlineStr">
        <is>
          <t>Corrida de blocks colineales; union por columna/mocheta; esquina al muro mas largo</t>
        </is>
      </c>
      <c r="T132" s="5" t="inlineStr"/>
    </row>
    <row r="133">
      <c r="A133" s="5" t="inlineStr">
        <is>
          <t>NIVEL 2</t>
        </is>
      </c>
      <c r="B133" s="5" t="inlineStr">
        <is>
          <t>N2-28</t>
        </is>
      </c>
      <c r="C133" s="5" t="inlineStr">
        <is>
          <t>Muro de 15cm</t>
        </is>
      </c>
      <c r="D133" s="6" t="n">
        <v>0.15</v>
      </c>
      <c r="E133" s="8" t="n">
        <v>-19.057</v>
      </c>
      <c r="F133" s="8" t="n">
        <v>5.946</v>
      </c>
      <c r="G133" s="8" t="n">
        <v>-19.057</v>
      </c>
      <c r="H133" s="8" t="n">
        <v>8.795</v>
      </c>
      <c r="I133" s="8" t="n">
        <v>2.849</v>
      </c>
      <c r="J133" s="5" t="n">
        <v>0</v>
      </c>
      <c r="K133" s="8" t="n">
        <v>0</v>
      </c>
      <c r="L133" s="8">
        <f>I133-K133</f>
        <v/>
      </c>
      <c r="M133" s="5" t="inlineStr">
        <is>
          <t>General</t>
        </is>
      </c>
      <c r="N133" s="6">
        <f>VLOOKUP(A133&amp;"|"&amp;M133,PARAMETROS!$A$4:$B$9,2,FALSE)</f>
        <v/>
      </c>
      <c r="O133" s="8">
        <f>I133*N133</f>
        <v/>
      </c>
      <c r="P133" s="8">
        <f>K133*PARAMETROS!$B$10</f>
        <v/>
      </c>
      <c r="Q133" s="8">
        <f>O133-P133</f>
        <v/>
      </c>
      <c r="R133" s="5" t="inlineStr">
        <is>
          <t>S-5 EMPLANTILLADO NIVEL 2</t>
        </is>
      </c>
      <c r="S133" s="5" t="inlineStr">
        <is>
          <t>Corrida de blocks colineales; union por columna/mocheta; esquina al muro mas largo</t>
        </is>
      </c>
      <c r="T133" s="5" t="inlineStr"/>
    </row>
    <row r="134">
      <c r="A134" s="5" t="inlineStr">
        <is>
          <t>NIVEL 2</t>
        </is>
      </c>
      <c r="B134" s="5" t="inlineStr">
        <is>
          <t>N2-29</t>
        </is>
      </c>
      <c r="C134" s="5" t="inlineStr">
        <is>
          <t>Muro de 20cm</t>
        </is>
      </c>
      <c r="D134" s="6" t="n">
        <v>0.2</v>
      </c>
      <c r="E134" s="8" t="n">
        <v>1.989</v>
      </c>
      <c r="F134" s="8" t="n">
        <v>-3.764</v>
      </c>
      <c r="G134" s="8" t="n">
        <v>1.989</v>
      </c>
      <c r="H134" s="8" t="n">
        <v>1.526</v>
      </c>
      <c r="I134" s="8" t="n">
        <v>5.29</v>
      </c>
      <c r="J134" s="5" t="n">
        <v>0</v>
      </c>
      <c r="K134" s="8" t="n">
        <v>0</v>
      </c>
      <c r="L134" s="8">
        <f>I134-K134</f>
        <v/>
      </c>
      <c r="M134" s="5" t="inlineStr">
        <is>
          <t>General</t>
        </is>
      </c>
      <c r="N134" s="6">
        <f>VLOOKUP(A134&amp;"|"&amp;M134,PARAMETROS!$A$4:$B$9,2,FALSE)</f>
        <v/>
      </c>
      <c r="O134" s="8">
        <f>I134*N134</f>
        <v/>
      </c>
      <c r="P134" s="8">
        <f>K134*PARAMETROS!$B$10</f>
        <v/>
      </c>
      <c r="Q134" s="8">
        <f>O134-P134</f>
        <v/>
      </c>
      <c r="R134" s="5" t="inlineStr">
        <is>
          <t>S-5 EMPLANTILLADO NIVEL 2</t>
        </is>
      </c>
      <c r="S134" s="5" t="inlineStr">
        <is>
          <t>Corrida de blocks colineales; union por columna/mocheta; esquina al muro mas largo</t>
        </is>
      </c>
      <c r="T134" s="5" t="inlineStr"/>
    </row>
    <row r="135">
      <c r="A135" s="5" t="inlineStr">
        <is>
          <t>NIVEL 2</t>
        </is>
      </c>
      <c r="B135" s="5" t="inlineStr">
        <is>
          <t>N2-30</t>
        </is>
      </c>
      <c r="C135" s="5" t="inlineStr">
        <is>
          <t>Muro de 20cm</t>
        </is>
      </c>
      <c r="D135" s="6" t="n">
        <v>0.2</v>
      </c>
      <c r="E135" s="8" t="n">
        <v>-2.857</v>
      </c>
      <c r="F135" s="8" t="n">
        <v>-3.564</v>
      </c>
      <c r="G135" s="8" t="n">
        <v>-2.857</v>
      </c>
      <c r="H135" s="8" t="n">
        <v>-2.359</v>
      </c>
      <c r="I135" s="8" t="n">
        <v>1.205</v>
      </c>
      <c r="J135" s="5" t="n">
        <v>0</v>
      </c>
      <c r="K135" s="8" t="n">
        <v>0</v>
      </c>
      <c r="L135" s="8">
        <f>I135-K135</f>
        <v/>
      </c>
      <c r="M135" s="5" t="inlineStr">
        <is>
          <t>General</t>
        </is>
      </c>
      <c r="N135" s="6">
        <f>VLOOKUP(A135&amp;"|"&amp;M135,PARAMETROS!$A$4:$B$9,2,FALSE)</f>
        <v/>
      </c>
      <c r="O135" s="8">
        <f>I135*N135</f>
        <v/>
      </c>
      <c r="P135" s="8">
        <f>K135*PARAMETROS!$B$10</f>
        <v/>
      </c>
      <c r="Q135" s="8">
        <f>O135-P135</f>
        <v/>
      </c>
      <c r="R135" s="5" t="inlineStr">
        <is>
          <t>S-5 EMPLANTILLADO NIVEL 2</t>
        </is>
      </c>
      <c r="S135" s="5" t="inlineStr">
        <is>
          <t>Corrida de blocks colineales; union por columna/mocheta; esquina al muro mas largo</t>
        </is>
      </c>
      <c r="T135" s="5" t="inlineStr"/>
    </row>
    <row r="136">
      <c r="A136" s="5" t="inlineStr">
        <is>
          <t>NIVEL 2</t>
        </is>
      </c>
      <c r="B136" s="5" t="inlineStr">
        <is>
          <t>N2-31</t>
        </is>
      </c>
      <c r="C136" s="5" t="inlineStr">
        <is>
          <t>Muro de 10cm</t>
        </is>
      </c>
      <c r="D136" s="6" t="n">
        <v>0.1</v>
      </c>
      <c r="E136" s="8" t="n">
        <v>-24.362</v>
      </c>
      <c r="F136" s="8" t="n">
        <v>-5.798</v>
      </c>
      <c r="G136" s="8" t="n">
        <v>-24.686</v>
      </c>
      <c r="H136" s="8" t="n">
        <v>-5.583</v>
      </c>
      <c r="I136" s="8" t="n">
        <v>0.39</v>
      </c>
      <c r="J136" s="5" t="n">
        <v>0</v>
      </c>
      <c r="K136" s="8" t="n">
        <v>0</v>
      </c>
      <c r="L136" s="8">
        <f>I136-K136</f>
        <v/>
      </c>
      <c r="M136" s="5" t="inlineStr">
        <is>
          <t>General</t>
        </is>
      </c>
      <c r="N136" s="6">
        <f>VLOOKUP(A136&amp;"|"&amp;M136,PARAMETROS!$A$4:$B$9,2,FALSE)</f>
        <v/>
      </c>
      <c r="O136" s="8">
        <f>I136*N136</f>
        <v/>
      </c>
      <c r="P136" s="8">
        <f>K136*PARAMETROS!$B$10</f>
        <v/>
      </c>
      <c r="Q136" s="8">
        <f>O136-P136</f>
        <v/>
      </c>
      <c r="R136" s="5" t="inlineStr">
        <is>
          <t>S-5 EMPLANTILLADO NIVEL 2</t>
        </is>
      </c>
      <c r="S136" s="5" t="inlineStr">
        <is>
          <t>Corrida de blocks colineales; union por columna/mocheta; esquina al muro mas largo</t>
        </is>
      </c>
      <c r="T136" s="5" t="inlineStr">
        <is>
          <t>Tramo corto: verificar</t>
        </is>
      </c>
    </row>
    <row r="137">
      <c r="A137" s="5" t="inlineStr">
        <is>
          <t>NIVEL 2</t>
        </is>
      </c>
      <c r="B137" s="5" t="inlineStr">
        <is>
          <t>N2-32</t>
        </is>
      </c>
      <c r="C137" s="5" t="inlineStr">
        <is>
          <t>Muro de 15cm</t>
        </is>
      </c>
      <c r="D137" s="6" t="n">
        <v>0.15</v>
      </c>
      <c r="E137" s="8" t="n">
        <v>-14.259</v>
      </c>
      <c r="F137" s="8" t="n">
        <v>4.151</v>
      </c>
      <c r="G137" s="8" t="n">
        <v>-17.59</v>
      </c>
      <c r="H137" s="8" t="n">
        <v>6.365</v>
      </c>
      <c r="I137" s="8" t="n">
        <v>3.999</v>
      </c>
      <c r="J137" s="5" t="n">
        <v>0</v>
      </c>
      <c r="K137" s="8" t="n">
        <v>0</v>
      </c>
      <c r="L137" s="8">
        <f>I137-K137</f>
        <v/>
      </c>
      <c r="M137" s="5" t="inlineStr">
        <is>
          <t>General</t>
        </is>
      </c>
      <c r="N137" s="6">
        <f>VLOOKUP(A137&amp;"|"&amp;M137,PARAMETROS!$A$4:$B$9,2,FALSE)</f>
        <v/>
      </c>
      <c r="O137" s="8">
        <f>I137*N137</f>
        <v/>
      </c>
      <c r="P137" s="8">
        <f>K137*PARAMETROS!$B$10</f>
        <v/>
      </c>
      <c r="Q137" s="8">
        <f>O137-P137</f>
        <v/>
      </c>
      <c r="R137" s="5" t="inlineStr">
        <is>
          <t>S-5 EMPLANTILLADO NIVEL 2</t>
        </is>
      </c>
      <c r="S137" s="5" t="inlineStr">
        <is>
          <t>Corrida de blocks colineales; union por columna/mocheta; esquina al muro mas largo</t>
        </is>
      </c>
      <c r="T137" s="5" t="inlineStr"/>
    </row>
    <row r="138">
      <c r="A138" s="5" t="inlineStr">
        <is>
          <t>NIVEL 2</t>
        </is>
      </c>
      <c r="B138" s="5" t="inlineStr">
        <is>
          <t>N2-33</t>
        </is>
      </c>
      <c r="C138" s="5" t="inlineStr">
        <is>
          <t>Muro de 15cm</t>
        </is>
      </c>
      <c r="D138" s="6" t="n">
        <v>0.15</v>
      </c>
      <c r="E138" s="8" t="n">
        <v>-16.384</v>
      </c>
      <c r="F138" s="8" t="n">
        <v>0.733</v>
      </c>
      <c r="G138" s="8" t="n">
        <v>-20.672</v>
      </c>
      <c r="H138" s="8" t="n">
        <v>3.584</v>
      </c>
      <c r="I138" s="8" t="n">
        <v>5.149</v>
      </c>
      <c r="J138" s="5" t="n">
        <v>0</v>
      </c>
      <c r="K138" s="8" t="n">
        <v>0</v>
      </c>
      <c r="L138" s="8">
        <f>I138-K138</f>
        <v/>
      </c>
      <c r="M138" s="5" t="inlineStr">
        <is>
          <t>General</t>
        </is>
      </c>
      <c r="N138" s="6">
        <f>VLOOKUP(A138&amp;"|"&amp;M138,PARAMETROS!$A$4:$B$9,2,FALSE)</f>
        <v/>
      </c>
      <c r="O138" s="8">
        <f>I138*N138</f>
        <v/>
      </c>
      <c r="P138" s="8">
        <f>K138*PARAMETROS!$B$10</f>
        <v/>
      </c>
      <c r="Q138" s="8">
        <f>O138-P138</f>
        <v/>
      </c>
      <c r="R138" s="5" t="inlineStr">
        <is>
          <t>S-5 EMPLANTILLADO NIVEL 2</t>
        </is>
      </c>
      <c r="S138" s="5" t="inlineStr">
        <is>
          <t>Corrida de blocks colineales; union por columna/mocheta; esquina al muro mas largo</t>
        </is>
      </c>
      <c r="T138" s="5" t="inlineStr"/>
    </row>
    <row r="139">
      <c r="A139" s="5" t="inlineStr">
        <is>
          <t>NIVEL 2</t>
        </is>
      </c>
      <c r="B139" s="5" t="inlineStr">
        <is>
          <t>N2-34</t>
        </is>
      </c>
      <c r="C139" s="5" t="inlineStr">
        <is>
          <t>Muro de 15cm</t>
        </is>
      </c>
      <c r="D139" s="6" t="n">
        <v>0.15</v>
      </c>
      <c r="E139" s="8" t="n">
        <v>-11.369</v>
      </c>
      <c r="F139" s="8" t="n">
        <v>-5.419</v>
      </c>
      <c r="G139" s="8" t="n">
        <v>-16.803</v>
      </c>
      <c r="H139" s="8" t="n">
        <v>-1.807</v>
      </c>
      <c r="I139" s="8" t="n">
        <v>6.525</v>
      </c>
      <c r="J139" s="5" t="n">
        <v>0</v>
      </c>
      <c r="K139" s="8" t="n">
        <v>0</v>
      </c>
      <c r="L139" s="8">
        <f>I139-K139</f>
        <v/>
      </c>
      <c r="M139" s="5" t="inlineStr">
        <is>
          <t>General</t>
        </is>
      </c>
      <c r="N139" s="6">
        <f>VLOOKUP(A139&amp;"|"&amp;M139,PARAMETROS!$A$4:$B$9,2,FALSE)</f>
        <v/>
      </c>
      <c r="O139" s="8">
        <f>I139*N139</f>
        <v/>
      </c>
      <c r="P139" s="8">
        <f>K139*PARAMETROS!$B$10</f>
        <v/>
      </c>
      <c r="Q139" s="8">
        <f>O139-P139</f>
        <v/>
      </c>
      <c r="R139" s="5" t="inlineStr">
        <is>
          <t>S-5 EMPLANTILLADO NIVEL 2</t>
        </is>
      </c>
      <c r="S139" s="5" t="inlineStr">
        <is>
          <t>Corrida de blocks colineales; union por columna/mocheta; esquina al muro mas largo</t>
        </is>
      </c>
      <c r="T139" s="5" t="inlineStr"/>
    </row>
    <row r="140">
      <c r="A140" s="5" t="inlineStr">
        <is>
          <t>NIVEL 2</t>
        </is>
      </c>
      <c r="B140" s="5" t="inlineStr">
        <is>
          <t>N2-35</t>
        </is>
      </c>
      <c r="C140" s="5" t="inlineStr">
        <is>
          <t>Muro de 15cm</t>
        </is>
      </c>
      <c r="D140" s="6" t="n">
        <v>0.15</v>
      </c>
      <c r="E140" s="8" t="n">
        <v>-18.581</v>
      </c>
      <c r="F140" s="8" t="n">
        <v>-2.732</v>
      </c>
      <c r="G140" s="8" t="n">
        <v>-19.072</v>
      </c>
      <c r="H140" s="8" t="n">
        <v>-2.405</v>
      </c>
      <c r="I140" s="8" t="n">
        <v>0.59</v>
      </c>
      <c r="J140" s="5" t="n">
        <v>0</v>
      </c>
      <c r="K140" s="8" t="n">
        <v>0</v>
      </c>
      <c r="L140" s="8">
        <f>I140-K140</f>
        <v/>
      </c>
      <c r="M140" s="5" t="inlineStr">
        <is>
          <t>General</t>
        </is>
      </c>
      <c r="N140" s="6">
        <f>VLOOKUP(A140&amp;"|"&amp;M140,PARAMETROS!$A$4:$B$9,2,FALSE)</f>
        <v/>
      </c>
      <c r="O140" s="8">
        <f>I140*N140</f>
        <v/>
      </c>
      <c r="P140" s="8">
        <f>K140*PARAMETROS!$B$10</f>
        <v/>
      </c>
      <c r="Q140" s="8">
        <f>O140-P140</f>
        <v/>
      </c>
      <c r="R140" s="5" t="inlineStr">
        <is>
          <t>S-5 EMPLANTILLADO NIVEL 2</t>
        </is>
      </c>
      <c r="S140" s="5" t="inlineStr">
        <is>
          <t>Corrida de blocks colineales; union por columna/mocheta; esquina al muro mas largo</t>
        </is>
      </c>
      <c r="T140" s="5" t="inlineStr"/>
    </row>
    <row r="141">
      <c r="A141" s="5" t="inlineStr">
        <is>
          <t>NIVEL 2</t>
        </is>
      </c>
      <c r="B141" s="5" t="inlineStr">
        <is>
          <t>N2-36</t>
        </is>
      </c>
      <c r="C141" s="5" t="inlineStr">
        <is>
          <t>Muro de 15cm</t>
        </is>
      </c>
      <c r="D141" s="6" t="n">
        <v>0.15</v>
      </c>
      <c r="E141" s="8" t="n">
        <v>-21.897</v>
      </c>
      <c r="F141" s="8" t="n">
        <v>-0.528</v>
      </c>
      <c r="G141" s="8" t="n">
        <v>-22.818</v>
      </c>
      <c r="H141" s="8" t="n">
        <v>0.08500000000000001</v>
      </c>
      <c r="I141" s="8" t="n">
        <v>1.107</v>
      </c>
      <c r="J141" s="5" t="n">
        <v>0</v>
      </c>
      <c r="K141" s="8" t="n">
        <v>0</v>
      </c>
      <c r="L141" s="8">
        <f>I141-K141</f>
        <v/>
      </c>
      <c r="M141" s="5" t="inlineStr">
        <is>
          <t>General</t>
        </is>
      </c>
      <c r="N141" s="6">
        <f>VLOOKUP(A141&amp;"|"&amp;M141,PARAMETROS!$A$4:$B$9,2,FALSE)</f>
        <v/>
      </c>
      <c r="O141" s="8">
        <f>I141*N141</f>
        <v/>
      </c>
      <c r="P141" s="8">
        <f>K141*PARAMETROS!$B$10</f>
        <v/>
      </c>
      <c r="Q141" s="8">
        <f>O141-P141</f>
        <v/>
      </c>
      <c r="R141" s="5" t="inlineStr">
        <is>
          <t>S-5 EMPLANTILLADO NIVEL 2</t>
        </is>
      </c>
      <c r="S141" s="5" t="inlineStr">
        <is>
          <t>Corrida de blocks colineales; union por columna/mocheta; esquina al muro mas largo</t>
        </is>
      </c>
      <c r="T141" s="5" t="inlineStr"/>
    </row>
    <row r="142">
      <c r="A142" s="5" t="inlineStr">
        <is>
          <t>NIVEL 2</t>
        </is>
      </c>
      <c r="B142" s="5" t="inlineStr">
        <is>
          <t>N2-37</t>
        </is>
      </c>
      <c r="C142" s="5" t="inlineStr">
        <is>
          <t>Muro de 15cm</t>
        </is>
      </c>
      <c r="D142" s="6" t="n">
        <v>0.15</v>
      </c>
      <c r="E142" s="8" t="n">
        <v>-22.492</v>
      </c>
      <c r="F142" s="8" t="n">
        <v>-2.228</v>
      </c>
      <c r="G142" s="8" t="n">
        <v>-23.785</v>
      </c>
      <c r="H142" s="8" t="n">
        <v>-1.369</v>
      </c>
      <c r="I142" s="8" t="n">
        <v>1.552</v>
      </c>
      <c r="J142" s="5" t="n">
        <v>0</v>
      </c>
      <c r="K142" s="8" t="n">
        <v>0</v>
      </c>
      <c r="L142" s="8">
        <f>I142-K142</f>
        <v/>
      </c>
      <c r="M142" s="5" t="inlineStr">
        <is>
          <t>General</t>
        </is>
      </c>
      <c r="N142" s="6">
        <f>VLOOKUP(A142&amp;"|"&amp;M142,PARAMETROS!$A$4:$B$9,2,FALSE)</f>
        <v/>
      </c>
      <c r="O142" s="8">
        <f>I142*N142</f>
        <v/>
      </c>
      <c r="P142" s="8">
        <f>K142*PARAMETROS!$B$10</f>
        <v/>
      </c>
      <c r="Q142" s="8">
        <f>O142-P142</f>
        <v/>
      </c>
      <c r="R142" s="5" t="inlineStr">
        <is>
          <t>S-5 EMPLANTILLADO NIVEL 2</t>
        </is>
      </c>
      <c r="S142" s="5" t="inlineStr">
        <is>
          <t>Corrida de blocks colineales; union por columna/mocheta; esquina al muro mas largo</t>
        </is>
      </c>
      <c r="T142" s="5" t="inlineStr"/>
    </row>
    <row r="143">
      <c r="A143" s="5" t="inlineStr">
        <is>
          <t>NIVEL 2</t>
        </is>
      </c>
      <c r="B143" s="5" t="inlineStr">
        <is>
          <t>N2-38</t>
        </is>
      </c>
      <c r="C143" s="5" t="inlineStr">
        <is>
          <t>Muro de 15cm</t>
        </is>
      </c>
      <c r="D143" s="6" t="n">
        <v>0.15</v>
      </c>
      <c r="E143" s="8" t="n">
        <v>-20.063</v>
      </c>
      <c r="F143" s="8" t="n">
        <v>-4.804</v>
      </c>
      <c r="G143" s="8" t="n">
        <v>-22.935</v>
      </c>
      <c r="H143" s="8" t="n">
        <v>-2.894</v>
      </c>
      <c r="I143" s="8" t="n">
        <v>3.449</v>
      </c>
      <c r="J143" s="5" t="n">
        <v>0</v>
      </c>
      <c r="K143" s="8" t="n">
        <v>0</v>
      </c>
      <c r="L143" s="8">
        <f>I143-K143</f>
        <v/>
      </c>
      <c r="M143" s="5" t="inlineStr">
        <is>
          <t>General</t>
        </is>
      </c>
      <c r="N143" s="6">
        <f>VLOOKUP(A143&amp;"|"&amp;M143,PARAMETROS!$A$4:$B$9,2,FALSE)</f>
        <v/>
      </c>
      <c r="O143" s="8">
        <f>I143*N143</f>
        <v/>
      </c>
      <c r="P143" s="8">
        <f>K143*PARAMETROS!$B$10</f>
        <v/>
      </c>
      <c r="Q143" s="8">
        <f>O143-P143</f>
        <v/>
      </c>
      <c r="R143" s="5" t="inlineStr">
        <is>
          <t>S-5 EMPLANTILLADO NIVEL 2</t>
        </is>
      </c>
      <c r="S143" s="5" t="inlineStr">
        <is>
          <t>Corrida de blocks colineales; union por columna/mocheta; esquina al muro mas largo</t>
        </is>
      </c>
      <c r="T143" s="5" t="inlineStr"/>
    </row>
    <row r="144">
      <c r="A144" s="5" t="inlineStr">
        <is>
          <t>NIVEL 2</t>
        </is>
      </c>
      <c r="B144" s="5" t="inlineStr">
        <is>
          <t>N2-39</t>
        </is>
      </c>
      <c r="C144" s="5" t="inlineStr">
        <is>
          <t>Muro de 15cm</t>
        </is>
      </c>
      <c r="D144" s="6" t="n">
        <v>0.15</v>
      </c>
      <c r="E144" s="8" t="n">
        <v>-23.112</v>
      </c>
      <c r="F144" s="8" t="n">
        <v>-3.557</v>
      </c>
      <c r="G144" s="8" t="n">
        <v>-24.587</v>
      </c>
      <c r="H144" s="8" t="n">
        <v>-2.577</v>
      </c>
      <c r="I144" s="8" t="n">
        <v>1.771</v>
      </c>
      <c r="J144" s="5" t="n">
        <v>0</v>
      </c>
      <c r="K144" s="8" t="n">
        <v>0</v>
      </c>
      <c r="L144" s="8">
        <f>I144-K144</f>
        <v/>
      </c>
      <c r="M144" s="5" t="inlineStr">
        <is>
          <t>General</t>
        </is>
      </c>
      <c r="N144" s="6">
        <f>VLOOKUP(A144&amp;"|"&amp;M144,PARAMETROS!$A$4:$B$9,2,FALSE)</f>
        <v/>
      </c>
      <c r="O144" s="8">
        <f>I144*N144</f>
        <v/>
      </c>
      <c r="P144" s="8">
        <f>K144*PARAMETROS!$B$10</f>
        <v/>
      </c>
      <c r="Q144" s="8">
        <f>O144-P144</f>
        <v/>
      </c>
      <c r="R144" s="5" t="inlineStr">
        <is>
          <t>S-5 EMPLANTILLADO NIVEL 2</t>
        </is>
      </c>
      <c r="S144" s="5" t="inlineStr">
        <is>
          <t>Corrida de blocks colineales; union por columna/mocheta; esquina al muro mas largo</t>
        </is>
      </c>
      <c r="T144" s="5" t="inlineStr">
        <is>
          <t>1 hueco(s) de columna/mocheta incluidos en la longitud</t>
        </is>
      </c>
    </row>
    <row r="145">
      <c r="A145" s="5" t="inlineStr">
        <is>
          <t>NIVEL 2</t>
        </is>
      </c>
      <c r="B145" s="5" t="inlineStr">
        <is>
          <t>N2-40</t>
        </is>
      </c>
      <c r="C145" s="5" t="inlineStr">
        <is>
          <t>Muro de 15cm</t>
        </is>
      </c>
      <c r="D145" s="6" t="n">
        <v>0.15</v>
      </c>
      <c r="E145" s="8" t="n">
        <v>-24.699</v>
      </c>
      <c r="F145" s="8" t="n">
        <v>-6.352</v>
      </c>
      <c r="G145" s="8" t="n">
        <v>-25.647</v>
      </c>
      <c r="H145" s="8" t="n">
        <v>-5.722</v>
      </c>
      <c r="I145" s="8" t="n">
        <v>1.137</v>
      </c>
      <c r="J145" s="5" t="n">
        <v>0</v>
      </c>
      <c r="K145" s="8" t="n">
        <v>0</v>
      </c>
      <c r="L145" s="8">
        <f>I145-K145</f>
        <v/>
      </c>
      <c r="M145" s="5" t="inlineStr">
        <is>
          <t>General</t>
        </is>
      </c>
      <c r="N145" s="6">
        <f>VLOOKUP(A145&amp;"|"&amp;M145,PARAMETROS!$A$4:$B$9,2,FALSE)</f>
        <v/>
      </c>
      <c r="O145" s="8">
        <f>I145*N145</f>
        <v/>
      </c>
      <c r="P145" s="8">
        <f>K145*PARAMETROS!$B$10</f>
        <v/>
      </c>
      <c r="Q145" s="8">
        <f>O145-P145</f>
        <v/>
      </c>
      <c r="R145" s="5" t="inlineStr">
        <is>
          <t>S-5 EMPLANTILLADO NIVEL 2</t>
        </is>
      </c>
      <c r="S145" s="5" t="inlineStr">
        <is>
          <t>Corrida de blocks colineales; union por columna/mocheta; esquina al muro mas largo</t>
        </is>
      </c>
      <c r="T145" s="5" t="inlineStr"/>
    </row>
    <row r="146">
      <c r="A146" s="5" t="inlineStr">
        <is>
          <t>NIVEL 2</t>
        </is>
      </c>
      <c r="B146" s="5" t="inlineStr">
        <is>
          <t>N2-41</t>
        </is>
      </c>
      <c r="C146" s="5" t="inlineStr">
        <is>
          <t>Muro de 15cm</t>
        </is>
      </c>
      <c r="D146" s="6" t="n">
        <v>0.15</v>
      </c>
      <c r="E146" s="8" t="n">
        <v>-26.885</v>
      </c>
      <c r="F146" s="8" t="n">
        <v>-6.033</v>
      </c>
      <c r="G146" s="8" t="n">
        <v>-27.51</v>
      </c>
      <c r="H146" s="8" t="n">
        <v>-5.617</v>
      </c>
      <c r="I146" s="8" t="n">
        <v>0.751</v>
      </c>
      <c r="J146" s="5" t="n">
        <v>0</v>
      </c>
      <c r="K146" s="8" t="n">
        <v>0</v>
      </c>
      <c r="L146" s="8">
        <f>I146-K146</f>
        <v/>
      </c>
      <c r="M146" s="5" t="inlineStr">
        <is>
          <t>General</t>
        </is>
      </c>
      <c r="N146" s="6">
        <f>VLOOKUP(A146&amp;"|"&amp;M146,PARAMETROS!$A$4:$B$9,2,FALSE)</f>
        <v/>
      </c>
      <c r="O146" s="8">
        <f>I146*N146</f>
        <v/>
      </c>
      <c r="P146" s="8">
        <f>K146*PARAMETROS!$B$10</f>
        <v/>
      </c>
      <c r="Q146" s="8">
        <f>O146-P146</f>
        <v/>
      </c>
      <c r="R146" s="5" t="inlineStr">
        <is>
          <t>S-5 EMPLANTILLADO NIVEL 2</t>
        </is>
      </c>
      <c r="S146" s="5" t="inlineStr">
        <is>
          <t>Corrida de blocks colineales; union por columna/mocheta; esquina al muro mas largo</t>
        </is>
      </c>
      <c r="T146" s="5" t="inlineStr"/>
    </row>
    <row r="147">
      <c r="A147" s="5" t="inlineStr">
        <is>
          <t>NIVEL 2</t>
        </is>
      </c>
      <c r="B147" s="5" t="inlineStr">
        <is>
          <t>N2-42</t>
        </is>
      </c>
      <c r="C147" s="5" t="inlineStr">
        <is>
          <t>Muro de 15cm</t>
        </is>
      </c>
      <c r="D147" s="6" t="n">
        <v>0.15</v>
      </c>
      <c r="E147" s="8" t="n">
        <v>-15.648</v>
      </c>
      <c r="F147" s="8" t="n">
        <v>-13.622</v>
      </c>
      <c r="G147" s="8" t="n">
        <v>-16.338</v>
      </c>
      <c r="H147" s="8" t="n">
        <v>-13.163</v>
      </c>
      <c r="I147" s="8" t="n">
        <v>0.829</v>
      </c>
      <c r="J147" s="5" t="n">
        <v>0</v>
      </c>
      <c r="K147" s="8" t="n">
        <v>0</v>
      </c>
      <c r="L147" s="8">
        <f>I147-K147</f>
        <v/>
      </c>
      <c r="M147" s="5" t="inlineStr">
        <is>
          <t>General</t>
        </is>
      </c>
      <c r="N147" s="6">
        <f>VLOOKUP(A147&amp;"|"&amp;M147,PARAMETROS!$A$4:$B$9,2,FALSE)</f>
        <v/>
      </c>
      <c r="O147" s="8">
        <f>I147*N147</f>
        <v/>
      </c>
      <c r="P147" s="8">
        <f>K147*PARAMETROS!$B$10</f>
        <v/>
      </c>
      <c r="Q147" s="8">
        <f>O147-P147</f>
        <v/>
      </c>
      <c r="R147" s="5" t="inlineStr">
        <is>
          <t>S-5 EMPLANTILLADO NIVEL 2</t>
        </is>
      </c>
      <c r="S147" s="5" t="inlineStr">
        <is>
          <t>Corrida de blocks colineales; union por columna/mocheta; esquina al muro mas largo</t>
        </is>
      </c>
      <c r="T147" s="5" t="inlineStr"/>
    </row>
    <row r="148">
      <c r="A148" s="5" t="inlineStr">
        <is>
          <t>NIVEL 2</t>
        </is>
      </c>
      <c r="B148" s="5" t="inlineStr">
        <is>
          <t>N2-43</t>
        </is>
      </c>
      <c r="C148" s="5" t="inlineStr">
        <is>
          <t>Muro de 15cm</t>
        </is>
      </c>
      <c r="D148" s="6" t="n">
        <v>0.15</v>
      </c>
      <c r="E148" s="8" t="n">
        <v>-21.709</v>
      </c>
      <c r="F148" s="8" t="n">
        <v>-9.776999999999999</v>
      </c>
      <c r="G148" s="8" t="n">
        <v>-27.65</v>
      </c>
      <c r="H148" s="8" t="n">
        <v>-5.828</v>
      </c>
      <c r="I148" s="8" t="n">
        <v>7.134</v>
      </c>
      <c r="J148" s="5" t="n">
        <v>0</v>
      </c>
      <c r="K148" s="8" t="n">
        <v>0</v>
      </c>
      <c r="L148" s="8">
        <f>I148-K148</f>
        <v/>
      </c>
      <c r="M148" s="5" t="inlineStr">
        <is>
          <t>General</t>
        </is>
      </c>
      <c r="N148" s="6">
        <f>VLOOKUP(A148&amp;"|"&amp;M148,PARAMETROS!$A$4:$B$9,2,FALSE)</f>
        <v/>
      </c>
      <c r="O148" s="8">
        <f>I148*N148</f>
        <v/>
      </c>
      <c r="P148" s="8">
        <f>K148*PARAMETROS!$B$10</f>
        <v/>
      </c>
      <c r="Q148" s="8">
        <f>O148-P148</f>
        <v/>
      </c>
      <c r="R148" s="5" t="inlineStr">
        <is>
          <t>S-5 EMPLANTILLADO NIVEL 2</t>
        </is>
      </c>
      <c r="S148" s="5" t="inlineStr">
        <is>
          <t>Corrida de blocks colineales; union por columna/mocheta; esquina al muro mas largo</t>
        </is>
      </c>
      <c r="T148" s="5" t="inlineStr"/>
    </row>
    <row r="149">
      <c r="A149" s="5" t="inlineStr">
        <is>
          <t>NIVEL 2</t>
        </is>
      </c>
      <c r="B149" s="5" t="inlineStr">
        <is>
          <t>N2-44</t>
        </is>
      </c>
      <c r="C149" s="5" t="inlineStr">
        <is>
          <t>Muro de 15cm</t>
        </is>
      </c>
      <c r="D149" s="6" t="n">
        <v>0.15</v>
      </c>
      <c r="E149" s="8" t="n">
        <v>-15.938</v>
      </c>
      <c r="F149" s="8" t="n">
        <v>-14.059</v>
      </c>
      <c r="G149" s="8" t="n">
        <v>-26.244</v>
      </c>
      <c r="H149" s="8" t="n">
        <v>-7.208</v>
      </c>
      <c r="I149" s="8" t="n">
        <v>12.375</v>
      </c>
      <c r="J149" s="5" t="n">
        <v>0</v>
      </c>
      <c r="K149" s="8" t="n">
        <v>0</v>
      </c>
      <c r="L149" s="8">
        <f>I149-K149</f>
        <v/>
      </c>
      <c r="M149" s="5" t="inlineStr">
        <is>
          <t>General</t>
        </is>
      </c>
      <c r="N149" s="6">
        <f>VLOOKUP(A149&amp;"|"&amp;M149,PARAMETROS!$A$4:$B$9,2,FALSE)</f>
        <v/>
      </c>
      <c r="O149" s="8">
        <f>I149*N149</f>
        <v/>
      </c>
      <c r="P149" s="8">
        <f>K149*PARAMETROS!$B$10</f>
        <v/>
      </c>
      <c r="Q149" s="8">
        <f>O149-P149</f>
        <v/>
      </c>
      <c r="R149" s="5" t="inlineStr">
        <is>
          <t>S-5 EMPLANTILLADO NIVEL 2</t>
        </is>
      </c>
      <c r="S149" s="5" t="inlineStr">
        <is>
          <t>Corrida de blocks colineales; union por columna/mocheta; esquina al muro mas largo</t>
        </is>
      </c>
      <c r="T149" s="5" t="inlineStr"/>
    </row>
    <row r="150">
      <c r="A150" s="5" t="inlineStr">
        <is>
          <t>NIVEL 2</t>
        </is>
      </c>
      <c r="B150" s="5" t="inlineStr">
        <is>
          <t>N2-45</t>
        </is>
      </c>
      <c r="C150" s="5" t="inlineStr">
        <is>
          <t>Muro de 20cm</t>
        </is>
      </c>
      <c r="D150" s="6" t="n">
        <v>0.2</v>
      </c>
      <c r="E150" s="8" t="n">
        <v>-20.285</v>
      </c>
      <c r="F150" s="8" t="n">
        <v>-1.63</v>
      </c>
      <c r="G150" s="8" t="n">
        <v>-21.494</v>
      </c>
      <c r="H150" s="8" t="n">
        <v>-0.826</v>
      </c>
      <c r="I150" s="8" t="n">
        <v>1.452</v>
      </c>
      <c r="J150" s="5" t="n">
        <v>0</v>
      </c>
      <c r="K150" s="8" t="n">
        <v>0</v>
      </c>
      <c r="L150" s="8">
        <f>I150-K150</f>
        <v/>
      </c>
      <c r="M150" s="5" t="inlineStr">
        <is>
          <t>General</t>
        </is>
      </c>
      <c r="N150" s="6">
        <f>VLOOKUP(A150&amp;"|"&amp;M150,PARAMETROS!$A$4:$B$9,2,FALSE)</f>
        <v/>
      </c>
      <c r="O150" s="8">
        <f>I150*N150</f>
        <v/>
      </c>
      <c r="P150" s="8">
        <f>K150*PARAMETROS!$B$10</f>
        <v/>
      </c>
      <c r="Q150" s="8">
        <f>O150-P150</f>
        <v/>
      </c>
      <c r="R150" s="5" t="inlineStr">
        <is>
          <t>S-5 EMPLANTILLADO NIVEL 2</t>
        </is>
      </c>
      <c r="S150" s="5" t="inlineStr">
        <is>
          <t>Corrida de blocks colineales; union por columna/mocheta; esquina al muro mas largo</t>
        </is>
      </c>
      <c r="T150" s="5" t="inlineStr"/>
    </row>
    <row r="151">
      <c r="A151" s="5" t="inlineStr">
        <is>
          <t>NIVEL 2</t>
        </is>
      </c>
      <c r="B151" s="5" t="inlineStr">
        <is>
          <t>N2-46</t>
        </is>
      </c>
      <c r="C151" s="5" t="inlineStr">
        <is>
          <t>Muro de 20cm</t>
        </is>
      </c>
      <c r="D151" s="6" t="n">
        <v>0.2</v>
      </c>
      <c r="E151" s="8" t="n">
        <v>-20.084</v>
      </c>
      <c r="F151" s="8" t="n">
        <v>-5.54</v>
      </c>
      <c r="G151" s="8" t="n">
        <v>-20.409</v>
      </c>
      <c r="H151" s="8" t="n">
        <v>-5.324</v>
      </c>
      <c r="I151" s="8" t="n">
        <v>0.39</v>
      </c>
      <c r="J151" s="5" t="n">
        <v>0</v>
      </c>
      <c r="K151" s="8" t="n">
        <v>0</v>
      </c>
      <c r="L151" s="8">
        <f>I151-K151</f>
        <v/>
      </c>
      <c r="M151" s="5" t="inlineStr">
        <is>
          <t>General</t>
        </is>
      </c>
      <c r="N151" s="6">
        <f>VLOOKUP(A151&amp;"|"&amp;M151,PARAMETROS!$A$4:$B$9,2,FALSE)</f>
        <v/>
      </c>
      <c r="O151" s="8">
        <f>I151*N151</f>
        <v/>
      </c>
      <c r="P151" s="8">
        <f>K151*PARAMETROS!$B$10</f>
        <v/>
      </c>
      <c r="Q151" s="8">
        <f>O151-P151</f>
        <v/>
      </c>
      <c r="R151" s="5" t="inlineStr">
        <is>
          <t>S-5 EMPLANTILLADO NIVEL 2</t>
        </is>
      </c>
      <c r="S151" s="5" t="inlineStr">
        <is>
          <t>Corrida de blocks colineales; union por columna/mocheta; esquina al muro mas largo</t>
        </is>
      </c>
      <c r="T151" s="5" t="inlineStr">
        <is>
          <t>Tramo corto: verificar</t>
        </is>
      </c>
    </row>
    <row r="152">
      <c r="A152" s="5" t="inlineStr">
        <is>
          <t>NIVEL 2</t>
        </is>
      </c>
      <c r="B152" s="5" t="inlineStr">
        <is>
          <t>N2-47</t>
        </is>
      </c>
      <c r="C152" s="5" t="inlineStr">
        <is>
          <t>Muro de 20cm</t>
        </is>
      </c>
      <c r="D152" s="6" t="n">
        <v>0.2</v>
      </c>
      <c r="E152" s="8" t="n">
        <v>-14.471</v>
      </c>
      <c r="F152" s="8" t="n">
        <v>-9.811999999999999</v>
      </c>
      <c r="G152" s="8" t="n">
        <v>-19.402</v>
      </c>
      <c r="H152" s="8" t="n">
        <v>-6.534</v>
      </c>
      <c r="I152" s="8" t="n">
        <v>5.921</v>
      </c>
      <c r="J152" s="5" t="n">
        <v>0</v>
      </c>
      <c r="K152" s="8" t="n">
        <v>0</v>
      </c>
      <c r="L152" s="8">
        <f>I152-K152</f>
        <v/>
      </c>
      <c r="M152" s="5" t="inlineStr">
        <is>
          <t>General</t>
        </is>
      </c>
      <c r="N152" s="6">
        <f>VLOOKUP(A152&amp;"|"&amp;M152,PARAMETROS!$A$4:$B$9,2,FALSE)</f>
        <v/>
      </c>
      <c r="O152" s="8">
        <f>I152*N152</f>
        <v/>
      </c>
      <c r="P152" s="8">
        <f>K152*PARAMETROS!$B$10</f>
        <v/>
      </c>
      <c r="Q152" s="8">
        <f>O152-P152</f>
        <v/>
      </c>
      <c r="R152" s="5" t="inlineStr">
        <is>
          <t>S-5 EMPLANTILLADO NIVEL 2</t>
        </is>
      </c>
      <c r="S152" s="5" t="inlineStr">
        <is>
          <t>Corrida de blocks colineales; union por columna/mocheta; esquina al muro mas largo</t>
        </is>
      </c>
      <c r="T152" s="5" t="inlineStr"/>
    </row>
    <row r="153">
      <c r="A153" s="5" t="inlineStr">
        <is>
          <t>NIVEL 2</t>
        </is>
      </c>
      <c r="B153" s="5" t="inlineStr">
        <is>
          <t>N2-48</t>
        </is>
      </c>
      <c r="C153" s="5" t="inlineStr">
        <is>
          <t>Muro de 15cm</t>
        </is>
      </c>
      <c r="D153" s="6" t="n">
        <v>0.15</v>
      </c>
      <c r="E153" s="8" t="n">
        <v>-2.511</v>
      </c>
      <c r="F153" s="8" t="n">
        <v>8.685</v>
      </c>
      <c r="G153" s="8" t="n">
        <v>-4.411</v>
      </c>
      <c r="H153" s="8" t="n">
        <v>8.685</v>
      </c>
      <c r="I153" s="8" t="n">
        <v>1.9</v>
      </c>
      <c r="J153" s="5" t="n">
        <v>0</v>
      </c>
      <c r="K153" s="8" t="n">
        <v>0</v>
      </c>
      <c r="L153" s="8">
        <f>I153-K153</f>
        <v/>
      </c>
      <c r="M153" s="5" t="inlineStr">
        <is>
          <t>General</t>
        </is>
      </c>
      <c r="N153" s="6">
        <f>VLOOKUP(A153&amp;"|"&amp;M153,PARAMETROS!$A$4:$B$9,2,FALSE)</f>
        <v/>
      </c>
      <c r="O153" s="8">
        <f>I153*N153</f>
        <v/>
      </c>
      <c r="P153" s="8">
        <f>K153*PARAMETROS!$B$10</f>
        <v/>
      </c>
      <c r="Q153" s="8">
        <f>O153-P153</f>
        <v/>
      </c>
      <c r="R153" s="5" t="inlineStr">
        <is>
          <t>S-5 EMPLANTILLADO NIVEL 2</t>
        </is>
      </c>
      <c r="S153" s="5" t="inlineStr">
        <is>
          <t>Corrida de blocks colineales; union por columna/mocheta; esquina al muro mas largo</t>
        </is>
      </c>
      <c r="T153" s="5" t="inlineStr"/>
    </row>
    <row r="154">
      <c r="A154" s="5" t="inlineStr">
        <is>
          <t>NIVEL 2</t>
        </is>
      </c>
      <c r="B154" s="5" t="inlineStr">
        <is>
          <t>N2-49</t>
        </is>
      </c>
      <c r="C154" s="5" t="inlineStr">
        <is>
          <t>Muro de 15cm</t>
        </is>
      </c>
      <c r="D154" s="6" t="n">
        <v>0.15</v>
      </c>
      <c r="E154" s="8" t="n">
        <v>-8.311</v>
      </c>
      <c r="F154" s="8" t="n">
        <v>8.685</v>
      </c>
      <c r="G154" s="8" t="n">
        <v>-11.361</v>
      </c>
      <c r="H154" s="8" t="n">
        <v>8.685</v>
      </c>
      <c r="I154" s="8" t="n">
        <v>3.05</v>
      </c>
      <c r="J154" s="5" t="n">
        <v>0</v>
      </c>
      <c r="K154" s="8" t="n">
        <v>0</v>
      </c>
      <c r="L154" s="8">
        <f>I154-K154</f>
        <v/>
      </c>
      <c r="M154" s="5" t="inlineStr">
        <is>
          <t>General</t>
        </is>
      </c>
      <c r="N154" s="6">
        <f>VLOOKUP(A154&amp;"|"&amp;M154,PARAMETROS!$A$4:$B$9,2,FALSE)</f>
        <v/>
      </c>
      <c r="O154" s="8">
        <f>I154*N154</f>
        <v/>
      </c>
      <c r="P154" s="8">
        <f>K154*PARAMETROS!$B$10</f>
        <v/>
      </c>
      <c r="Q154" s="8">
        <f>O154-P154</f>
        <v/>
      </c>
      <c r="R154" s="5" t="inlineStr">
        <is>
          <t>S-5 EMPLANTILLADO NIVEL 2</t>
        </is>
      </c>
      <c r="S154" s="5" t="inlineStr">
        <is>
          <t>Corrida de blocks colineales; union por columna/mocheta; esquina al muro mas largo</t>
        </is>
      </c>
      <c r="T154" s="5" t="inlineStr">
        <is>
          <t>1 hueco(s) de columna/mocheta incluidos en la longitud</t>
        </is>
      </c>
    </row>
    <row r="155">
      <c r="A155" s="5" t="inlineStr">
        <is>
          <t>NIVEL 2</t>
        </is>
      </c>
      <c r="B155" s="5" t="inlineStr">
        <is>
          <t>N2-50</t>
        </is>
      </c>
      <c r="C155" s="5" t="inlineStr">
        <is>
          <t>Muro de 15cm</t>
        </is>
      </c>
      <c r="D155" s="6" t="n">
        <v>0.15</v>
      </c>
      <c r="E155" s="8" t="n">
        <v>-14.109</v>
      </c>
      <c r="F155" s="8" t="n">
        <v>8.695</v>
      </c>
      <c r="G155" s="8" t="n">
        <v>-18.982</v>
      </c>
      <c r="H155" s="8" t="n">
        <v>8.695</v>
      </c>
      <c r="I155" s="8" t="n">
        <v>4.873</v>
      </c>
      <c r="J155" s="5" t="n">
        <v>0</v>
      </c>
      <c r="K155" s="8" t="n">
        <v>0</v>
      </c>
      <c r="L155" s="8">
        <f>I155-K155</f>
        <v/>
      </c>
      <c r="M155" s="5" t="inlineStr">
        <is>
          <t>General</t>
        </is>
      </c>
      <c r="N155" s="6">
        <f>VLOOKUP(A155&amp;"|"&amp;M155,PARAMETROS!$A$4:$B$9,2,FALSE)</f>
        <v/>
      </c>
      <c r="O155" s="8">
        <f>I155*N155</f>
        <v/>
      </c>
      <c r="P155" s="8">
        <f>K155*PARAMETROS!$B$10</f>
        <v/>
      </c>
      <c r="Q155" s="8">
        <f>O155-P155</f>
        <v/>
      </c>
      <c r="R155" s="5" t="inlineStr">
        <is>
          <t>S-5 EMPLANTILLADO NIVEL 2</t>
        </is>
      </c>
      <c r="S155" s="5" t="inlineStr">
        <is>
          <t>Corrida de blocks colineales; union por columna/mocheta; esquina al muro mas largo</t>
        </is>
      </c>
      <c r="T155" s="5" t="inlineStr"/>
    </row>
    <row r="156">
      <c r="A156" s="5" t="inlineStr">
        <is>
          <t>NIVEL 2</t>
        </is>
      </c>
      <c r="B156" s="5" t="inlineStr">
        <is>
          <t>N2-51</t>
        </is>
      </c>
      <c r="C156" s="5" t="inlineStr">
        <is>
          <t>Muro de 15cm</t>
        </is>
      </c>
      <c r="D156" s="6" t="n">
        <v>0.15</v>
      </c>
      <c r="E156" s="8" t="n">
        <v>-18.582</v>
      </c>
      <c r="F156" s="8" t="n">
        <v>6.967</v>
      </c>
      <c r="G156" s="8" t="n">
        <v>-18.982</v>
      </c>
      <c r="H156" s="8" t="n">
        <v>6.967</v>
      </c>
      <c r="I156" s="8" t="n">
        <v>0.4</v>
      </c>
      <c r="J156" s="5" t="n">
        <v>0</v>
      </c>
      <c r="K156" s="8" t="n">
        <v>0</v>
      </c>
      <c r="L156" s="8">
        <f>I156-K156</f>
        <v/>
      </c>
      <c r="M156" s="5" t="inlineStr">
        <is>
          <t>General</t>
        </is>
      </c>
      <c r="N156" s="6">
        <f>VLOOKUP(A156&amp;"|"&amp;M156,PARAMETROS!$A$4:$B$9,2,FALSE)</f>
        <v/>
      </c>
      <c r="O156" s="8">
        <f>I156*N156</f>
        <v/>
      </c>
      <c r="P156" s="8">
        <f>K156*PARAMETROS!$B$10</f>
        <v/>
      </c>
      <c r="Q156" s="8">
        <f>O156-P156</f>
        <v/>
      </c>
      <c r="R156" s="5" t="inlineStr">
        <is>
          <t>S-5 EMPLANTILLADO NIVEL 2</t>
        </is>
      </c>
      <c r="S156" s="5" t="inlineStr">
        <is>
          <t>Corrida de blocks colineales; union por columna/mocheta; esquina al muro mas largo</t>
        </is>
      </c>
      <c r="T156" s="5" t="inlineStr">
        <is>
          <t>Tramo corto: verificar</t>
        </is>
      </c>
    </row>
    <row r="157">
      <c r="A157" s="5" t="inlineStr">
        <is>
          <t>NIVEL 2</t>
        </is>
      </c>
      <c r="B157" s="5" t="inlineStr">
        <is>
          <t>N2-52</t>
        </is>
      </c>
      <c r="C157" s="5" t="inlineStr">
        <is>
          <t>Muro de 15cm</t>
        </is>
      </c>
      <c r="D157" s="6" t="n">
        <v>0.15</v>
      </c>
      <c r="E157" s="8" t="n">
        <v>-15.809</v>
      </c>
      <c r="F157" s="8" t="n">
        <v>5.816</v>
      </c>
      <c r="G157" s="8" t="n">
        <v>-16.628</v>
      </c>
      <c r="H157" s="8" t="n">
        <v>5.816</v>
      </c>
      <c r="I157" s="8" t="n">
        <v>0.819</v>
      </c>
      <c r="J157" s="5" t="n">
        <v>0</v>
      </c>
      <c r="K157" s="8" t="n">
        <v>0</v>
      </c>
      <c r="L157" s="8">
        <f>I157-K157</f>
        <v/>
      </c>
      <c r="M157" s="5" t="inlineStr">
        <is>
          <t>General</t>
        </is>
      </c>
      <c r="N157" s="6">
        <f>VLOOKUP(A157&amp;"|"&amp;M157,PARAMETROS!$A$4:$B$9,2,FALSE)</f>
        <v/>
      </c>
      <c r="O157" s="8">
        <f>I157*N157</f>
        <v/>
      </c>
      <c r="P157" s="8">
        <f>K157*PARAMETROS!$B$10</f>
        <v/>
      </c>
      <c r="Q157" s="8">
        <f>O157-P157</f>
        <v/>
      </c>
      <c r="R157" s="5" t="inlineStr">
        <is>
          <t>S-5 EMPLANTILLADO NIVEL 2</t>
        </is>
      </c>
      <c r="S157" s="5" t="inlineStr">
        <is>
          <t>Corrida de blocks colineales; union por columna/mocheta; esquina al muro mas largo</t>
        </is>
      </c>
      <c r="T157" s="5" t="inlineStr"/>
    </row>
    <row r="158">
      <c r="A158" s="5" t="inlineStr">
        <is>
          <t>NIVEL 2</t>
        </is>
      </c>
      <c r="B158" s="5" t="inlineStr">
        <is>
          <t>N2-53</t>
        </is>
      </c>
      <c r="C158" s="5" t="inlineStr">
        <is>
          <t>Muro de 15cm</t>
        </is>
      </c>
      <c r="D158" s="6" t="n">
        <v>0.15</v>
      </c>
      <c r="E158" s="8" t="n">
        <v>-2.661</v>
      </c>
      <c r="F158" s="8" t="n">
        <v>5.545</v>
      </c>
      <c r="G158" s="8" t="n">
        <v>-3.416</v>
      </c>
      <c r="H158" s="8" t="n">
        <v>5.545</v>
      </c>
      <c r="I158" s="8" t="n">
        <v>0.755</v>
      </c>
      <c r="J158" s="5" t="n">
        <v>0</v>
      </c>
      <c r="K158" s="8" t="n">
        <v>0</v>
      </c>
      <c r="L158" s="8">
        <f>I158-K158</f>
        <v/>
      </c>
      <c r="M158" s="5" t="inlineStr">
        <is>
          <t>General</t>
        </is>
      </c>
      <c r="N158" s="6">
        <f>VLOOKUP(A158&amp;"|"&amp;M158,PARAMETROS!$A$4:$B$9,2,FALSE)</f>
        <v/>
      </c>
      <c r="O158" s="8">
        <f>I158*N158</f>
        <v/>
      </c>
      <c r="P158" s="8">
        <f>K158*PARAMETROS!$B$10</f>
        <v/>
      </c>
      <c r="Q158" s="8">
        <f>O158-P158</f>
        <v/>
      </c>
      <c r="R158" s="5" t="inlineStr">
        <is>
          <t>S-5 EMPLANTILLADO NIVEL 2</t>
        </is>
      </c>
      <c r="S158" s="5" t="inlineStr">
        <is>
          <t>Corrida de blocks colineales; union por columna/mocheta; esquina al muro mas largo</t>
        </is>
      </c>
      <c r="T158" s="5" t="inlineStr"/>
    </row>
    <row r="159">
      <c r="A159" s="5" t="inlineStr">
        <is>
          <t>NIVEL 2</t>
        </is>
      </c>
      <c r="B159" s="5" t="inlineStr">
        <is>
          <t>N2-54</t>
        </is>
      </c>
      <c r="C159" s="5" t="inlineStr">
        <is>
          <t>Muro de 15cm</t>
        </is>
      </c>
      <c r="D159" s="6" t="n">
        <v>0.15</v>
      </c>
      <c r="E159" s="8" t="n">
        <v>-8.461</v>
      </c>
      <c r="F159" s="8" t="n">
        <v>5.545</v>
      </c>
      <c r="G159" s="8" t="n">
        <v>-9.246</v>
      </c>
      <c r="H159" s="8" t="n">
        <v>5.545</v>
      </c>
      <c r="I159" s="8" t="n">
        <v>0.785</v>
      </c>
      <c r="J159" s="5" t="n">
        <v>0</v>
      </c>
      <c r="K159" s="8" t="n">
        <v>0</v>
      </c>
      <c r="L159" s="8">
        <f>I159-K159</f>
        <v/>
      </c>
      <c r="M159" s="5" t="inlineStr">
        <is>
          <t>General</t>
        </is>
      </c>
      <c r="N159" s="6">
        <f>VLOOKUP(A159&amp;"|"&amp;M159,PARAMETROS!$A$4:$B$9,2,FALSE)</f>
        <v/>
      </c>
      <c r="O159" s="8">
        <f>I159*N159</f>
        <v/>
      </c>
      <c r="P159" s="8">
        <f>K159*PARAMETROS!$B$10</f>
        <v/>
      </c>
      <c r="Q159" s="8">
        <f>O159-P159</f>
        <v/>
      </c>
      <c r="R159" s="5" t="inlineStr">
        <is>
          <t>S-5 EMPLANTILLADO NIVEL 2</t>
        </is>
      </c>
      <c r="S159" s="5" t="inlineStr">
        <is>
          <t>Corrida de blocks colineales; union por columna/mocheta; esquina al muro mas largo</t>
        </is>
      </c>
      <c r="T159" s="5" t="inlineStr"/>
    </row>
    <row r="160">
      <c r="A160" s="5" t="inlineStr">
        <is>
          <t>NIVEL 2</t>
        </is>
      </c>
      <c r="B160" s="5" t="inlineStr">
        <is>
          <t>N2-55</t>
        </is>
      </c>
      <c r="C160" s="5" t="inlineStr">
        <is>
          <t>Muro de 15cm</t>
        </is>
      </c>
      <c r="D160" s="6" t="n">
        <v>0.15</v>
      </c>
      <c r="E160" s="8" t="n">
        <v>1.739</v>
      </c>
      <c r="F160" s="8" t="n">
        <v>3.111</v>
      </c>
      <c r="G160" s="8" t="n">
        <v>-14.499</v>
      </c>
      <c r="H160" s="8" t="n">
        <v>3.111</v>
      </c>
      <c r="I160" s="8" t="n">
        <v>16.238</v>
      </c>
      <c r="J160" s="5" t="n">
        <v>3</v>
      </c>
      <c r="K160" s="8" t="n">
        <v>2.7</v>
      </c>
      <c r="L160" s="8">
        <f>I160-K160</f>
        <v/>
      </c>
      <c r="M160" s="5" t="inlineStr">
        <is>
          <t>General</t>
        </is>
      </c>
      <c r="N160" s="6">
        <f>VLOOKUP(A160&amp;"|"&amp;M160,PARAMETROS!$A$4:$B$9,2,FALSE)</f>
        <v/>
      </c>
      <c r="O160" s="8">
        <f>I160*N160</f>
        <v/>
      </c>
      <c r="P160" s="8">
        <f>K160*PARAMETROS!$B$10</f>
        <v/>
      </c>
      <c r="Q160" s="8">
        <f>O160-P160</f>
        <v/>
      </c>
      <c r="R160" s="5" t="inlineStr">
        <is>
          <t>S-5 EMPLANTILLADO NIVEL 2</t>
        </is>
      </c>
      <c r="S160" s="5" t="inlineStr">
        <is>
          <t>Corrida de blocks colineales; union por columna/mocheta; esquina al muro mas largo</t>
        </is>
      </c>
      <c r="T160" s="5" t="inlineStr"/>
    </row>
    <row r="161">
      <c r="A161" s="5" t="inlineStr">
        <is>
          <t>NIVEL 2</t>
        </is>
      </c>
      <c r="B161" s="5" t="inlineStr">
        <is>
          <t>N2-56</t>
        </is>
      </c>
      <c r="C161" s="5" t="inlineStr">
        <is>
          <t>Muro de 15cm</t>
        </is>
      </c>
      <c r="D161" s="6" t="n">
        <v>0.15</v>
      </c>
      <c r="E161" s="8" t="n">
        <v>-9.058</v>
      </c>
      <c r="F161" s="8" t="n">
        <v>1.511</v>
      </c>
      <c r="G161" s="8" t="n">
        <v>-13.585</v>
      </c>
      <c r="H161" s="8" t="n">
        <v>1.511</v>
      </c>
      <c r="I161" s="8" t="n">
        <v>4.527</v>
      </c>
      <c r="J161" s="5" t="n">
        <v>0</v>
      </c>
      <c r="K161" s="8" t="n">
        <v>0</v>
      </c>
      <c r="L161" s="8">
        <f>I161-K161</f>
        <v/>
      </c>
      <c r="M161" s="5" t="inlineStr">
        <is>
          <t>General</t>
        </is>
      </c>
      <c r="N161" s="6">
        <f>VLOOKUP(A161&amp;"|"&amp;M161,PARAMETROS!$A$4:$B$9,2,FALSE)</f>
        <v/>
      </c>
      <c r="O161" s="8">
        <f>I161*N161</f>
        <v/>
      </c>
      <c r="P161" s="8">
        <f>K161*PARAMETROS!$B$10</f>
        <v/>
      </c>
      <c r="Q161" s="8">
        <f>O161-P161</f>
        <v/>
      </c>
      <c r="R161" s="5" t="inlineStr">
        <is>
          <t>S-5 EMPLANTILLADO NIVEL 2</t>
        </is>
      </c>
      <c r="S161" s="5" t="inlineStr">
        <is>
          <t>Corrida de blocks colineales; union por columna/mocheta; esquina al muro mas largo</t>
        </is>
      </c>
      <c r="T161" s="5" t="inlineStr">
        <is>
          <t>1 hueco(s) de columna/mocheta incluidos en la longitud</t>
        </is>
      </c>
    </row>
    <row r="162">
      <c r="A162" s="5" t="inlineStr">
        <is>
          <t>NIVEL 2</t>
        </is>
      </c>
      <c r="B162" s="5" t="inlineStr">
        <is>
          <t>N2-57</t>
        </is>
      </c>
      <c r="C162" s="5" t="inlineStr">
        <is>
          <t>Muro de 15cm</t>
        </is>
      </c>
      <c r="D162" s="6" t="n">
        <v>0.15</v>
      </c>
      <c r="E162" s="8" t="n">
        <v>-9.691000000000001</v>
      </c>
      <c r="F162" s="8" t="n">
        <v>-2.589</v>
      </c>
      <c r="G162" s="8" t="n">
        <v>-12.938</v>
      </c>
      <c r="H162" s="8" t="n">
        <v>-2.589</v>
      </c>
      <c r="I162" s="8" t="n">
        <v>3.247</v>
      </c>
      <c r="J162" s="5" t="n">
        <v>1</v>
      </c>
      <c r="K162" s="8" t="n">
        <v>1.96</v>
      </c>
      <c r="L162" s="8">
        <f>I162-K162</f>
        <v/>
      </c>
      <c r="M162" s="5" t="inlineStr">
        <is>
          <t>General</t>
        </is>
      </c>
      <c r="N162" s="6">
        <f>VLOOKUP(A162&amp;"|"&amp;M162,PARAMETROS!$A$4:$B$9,2,FALSE)</f>
        <v/>
      </c>
      <c r="O162" s="8">
        <f>I162*N162</f>
        <v/>
      </c>
      <c r="P162" s="8">
        <f>K162*PARAMETROS!$B$10</f>
        <v/>
      </c>
      <c r="Q162" s="8">
        <f>O162-P162</f>
        <v/>
      </c>
      <c r="R162" s="5" t="inlineStr">
        <is>
          <t>S-5 EMPLANTILLADO NIVEL 2</t>
        </is>
      </c>
      <c r="S162" s="5" t="inlineStr">
        <is>
          <t>Corrida de blocks colineales; union por columna/mocheta; esquina al muro mas largo</t>
        </is>
      </c>
      <c r="T162" s="5" t="inlineStr"/>
    </row>
    <row r="163">
      <c r="A163" s="5" t="inlineStr">
        <is>
          <t>NIVEL 2</t>
        </is>
      </c>
      <c r="B163" s="5" t="inlineStr">
        <is>
          <t>N2-58</t>
        </is>
      </c>
      <c r="C163" s="5" t="inlineStr">
        <is>
          <t>Muro de 20cm</t>
        </is>
      </c>
      <c r="D163" s="6" t="n">
        <v>0.2</v>
      </c>
      <c r="E163" s="8" t="n">
        <v>1.589</v>
      </c>
      <c r="F163" s="8" t="n">
        <v>-3.664</v>
      </c>
      <c r="G163" s="8" t="n">
        <v>-2.957</v>
      </c>
      <c r="H163" s="8" t="n">
        <v>-3.664</v>
      </c>
      <c r="I163" s="8" t="n">
        <v>4.546</v>
      </c>
      <c r="J163" s="5" t="n">
        <v>1</v>
      </c>
      <c r="K163" s="8" t="n">
        <v>1.3</v>
      </c>
      <c r="L163" s="8">
        <f>I163-K163</f>
        <v/>
      </c>
      <c r="M163" s="5" t="inlineStr">
        <is>
          <t>General</t>
        </is>
      </c>
      <c r="N163" s="6">
        <f>VLOOKUP(A163&amp;"|"&amp;M163,PARAMETROS!$A$4:$B$9,2,FALSE)</f>
        <v/>
      </c>
      <c r="O163" s="8">
        <f>I163*N163</f>
        <v/>
      </c>
      <c r="P163" s="8">
        <f>K163*PARAMETROS!$B$10</f>
        <v/>
      </c>
      <c r="Q163" s="8">
        <f>O163-P163</f>
        <v/>
      </c>
      <c r="R163" s="5" t="inlineStr">
        <is>
          <t>S-5 EMPLANTILLADO NIVEL 2</t>
        </is>
      </c>
      <c r="S163" s="5" t="inlineStr">
        <is>
          <t>Corrida de blocks colineales; union por columna/mocheta; esquina al muro mas largo</t>
        </is>
      </c>
      <c r="T163" s="5" t="inlineStr"/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00" customWidth="1" min="3" max="3"/>
    <col width="40" customWidth="1" min="4" max="4"/>
  </cols>
  <sheetData>
    <row r="1">
      <c r="A1" s="4" t="inlineStr">
        <is>
          <t>No.</t>
        </is>
      </c>
      <c r="B1" s="4" t="inlineStr">
        <is>
          <t>Tema</t>
        </is>
      </c>
      <c r="C1" s="4" t="inlineStr">
        <is>
          <t>Descripcion</t>
        </is>
      </c>
      <c r="D1" s="4" t="inlineStr">
        <is>
          <t>Impacto</t>
        </is>
      </c>
    </row>
    <row r="2">
      <c r="A2" s="5" t="inlineStr">
        <is>
          <t>RFI-04</t>
        </is>
      </c>
      <c r="B2" s="5" t="inlineStr">
        <is>
          <t>Ventanas</t>
        </is>
      </c>
      <c r="C2" s="5" t="inlineStr">
        <is>
          <t>Los emplantillados no muestran ventanas: el area neta solo descuenta puertas (como V2). El libro a mano descuenta puertas y ventanas. Falta el plano de arquitectura o cortes con ventanas.</t>
        </is>
      </c>
      <c r="D2" s="5" t="inlineStr">
        <is>
          <t>Area neta sobrestimada en el area de ventanas</t>
        </is>
      </c>
    </row>
    <row r="3">
      <c r="A3" s="5" t="inlineStr">
        <is>
          <t>OBS-05</t>
        </is>
      </c>
      <c r="B3" s="5" t="inlineStr">
        <is>
          <t>Alturas</t>
        </is>
      </c>
      <c r="C3" s="5" t="inlineStr">
        <is>
          <t>Verificadas con S-1 (detalles MC1 y CC1), S-2 (niveles de losa), S-7 y S-8 (secciones). Ver PARAMETROS. La altura de puerta 2.10 sigue como supuesto.</t>
        </is>
      </c>
      <c r="D3" s="5" t="inlineStr"/>
    </row>
    <row r="4">
      <c r="A4" s="5" t="inlineStr">
        <is>
          <t>OBS-06</t>
        </is>
      </c>
      <c r="B4" s="5" t="inlineStr">
        <is>
          <t>Ejes</t>
        </is>
      </c>
      <c r="C4" s="5" t="inlineStr">
        <is>
          <t>Ejes ubicados registrando el PDF S-1 contra el DXF (82% de esquinas de block coinciden a menos de 3 cm): eje 5 x=-2.60, eje 6 x=1.81, eje C y=1.33, eje A y=8.84. Muros que cruzan los ejes 5 o 6 se parten.</t>
        </is>
      </c>
      <c r="D4" s="5" t="inlineStr"/>
    </row>
    <row r="5">
      <c r="A5" s="5" t="inlineStr">
        <is>
          <t>RFI-07</t>
        </is>
      </c>
      <c r="B5" s="5" t="inlineStr">
        <is>
          <t>Contencion bajo losa NPT 0.00</t>
        </is>
      </c>
      <c r="C5" s="5" t="inlineStr">
        <is>
          <t>El detalle MC1 rotula NPT -0.35/0.00 con 3.50 m sobre piso; se usa 4.30 en toda la contencion. Si bajo la losa a 0.00 sube a 3.85, sumar 0.35 m en ~10 ml.</t>
        </is>
      </c>
      <c r="D5" s="5" t="inlineStr">
        <is>
          <t>~3.5 m2</t>
        </is>
      </c>
    </row>
    <row r="6">
      <c r="A6" s="5" t="inlineStr">
        <is>
          <t>OBS-07</t>
        </is>
      </c>
      <c r="B6" s="5" t="inlineStr">
        <is>
          <t>Contencion = doble hilada</t>
        </is>
      </c>
      <c r="C6" s="5" t="inlineStr">
        <is>
          <t>Dos corridas de block de 15 separadas 0.12-0.19 m = muro de contencion de 30 cm (criterio de la oficina).</t>
        </is>
      </c>
      <c r="D6" s="5" t="inlineStr"/>
    </row>
    <row r="7">
      <c r="A7" s="5" t="inlineStr">
        <is>
          <t>OBS-08</t>
        </is>
      </c>
      <c r="B7" s="5" t="inlineStr">
        <is>
          <t>Union por columnas</t>
        </is>
      </c>
      <c r="C7" s="5" t="inlineStr">
        <is>
          <t>Huecos entre corridas colineales &lt;=0.62 m, o con columna/mocheta dibujada o etiqueta C# a menos de 1 m, se cuentan como muro corrido (la columna se descuenta despues en 'solo block'). Huecos 0.62-2.05 m sin columna = vano de puerta.</t>
        </is>
      </c>
      <c r="D7" s="5" t="inlineStr"/>
    </row>
    <row r="8">
      <c r="A8" s="5" t="inlineStr">
        <is>
          <t>OBS-09</t>
        </is>
      </c>
      <c r="B8" s="5" t="inlineStr">
        <is>
          <t>Esquinas</t>
        </is>
      </c>
      <c r="C8" s="5" t="inlineStr">
        <is>
          <t>En L el muro mas largo llega a la cara exterior y el corto a la cara interior; en T el muro llega a la cara del que cruza. Traslape residual: SOT 0.34 m2, N1 0.20 m2, N2 0.10 m2 en planta.</t>
        </is>
      </c>
      <c r="D8" s="5" t="inlineStr">
        <is>
          <t>&lt;0.2%</t>
        </is>
      </c>
    </row>
    <row r="9">
      <c r="A9" s="5" t="inlineStr">
        <is>
          <t>OBS-10</t>
        </is>
      </c>
      <c r="B9" s="5" t="inlineStr">
        <is>
          <t>Perimetral N1</t>
        </is>
      </c>
      <c r="C9" s="5" t="inlineStr">
        <is>
          <t>Los dos tramos de 15 cm de mas de 30 m en S-3 se clasifican como muro perimetral (35.65 + 33.42 ml), igual que V2 (69.00).</t>
        </is>
      </c>
      <c r="D9" s="5" t="inlineStr"/>
    </row>
    <row r="10">
      <c r="A10" s="5" t="inlineStr">
        <is>
          <t>OBS-11</t>
        </is>
      </c>
      <c r="B10" s="5" t="inlineStr">
        <is>
          <t>Alcance</t>
        </is>
      </c>
      <c r="C10" s="5" t="inlineStr">
        <is>
          <t>Esta hoja cuantifica muro (longitud, area bruta, vanos, area neta). No incluye 'solo block' (descuento de columnas, mochetas y soleras), pines ni soleras: pendiente si se pide.</t>
        </is>
      </c>
      <c r="D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2026-10-12T22:22:45Z</dcterms:created>
  <dcterms:modified xmlns:dcterms="http://purl.org/dc/terms/" xmlns:xsi="http://www.w3.org/2001/XMLSchema-instance" xsi:type="dcterms:W3CDTF">2026-10-12T22:22:45Z</dcterms:modified>
</cp:coreProperties>
</file>