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arámetros" sheetId="2" state="visible" r:id="rId2"/>
    <sheet xmlns:r="http://schemas.openxmlformats.org/officeDocument/2006/relationships" name="Zapatas" sheetId="3" state="visible" r:id="rId3"/>
    <sheet xmlns:r="http://schemas.openxmlformats.org/officeDocument/2006/relationships" name="Cimientos" sheetId="4" state="visible" r:id="rId4"/>
    <sheet xmlns:r="http://schemas.openxmlformats.org/officeDocument/2006/relationships" name="Soleras SA" sheetId="5" state="visible" r:id="rId5"/>
    <sheet xmlns:r="http://schemas.openxmlformats.org/officeDocument/2006/relationships" name="Pendien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Arial"/>
      <b val="1"/>
      <color rgb="00000000"/>
      <sz val="12"/>
    </font>
    <font>
      <name val="Arial"/>
      <i val="1"/>
      <color rgb="00595959"/>
      <sz val="9"/>
    </font>
    <font>
      <name val="Arial"/>
      <b val="1"/>
      <color rgb="00000000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" fontId="4" fillId="0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2" fontId="3" fillId="4" borderId="1" applyAlignment="1" pivotButton="0" quotePrefix="0" xfId="0">
      <alignment horizontal="center" vertical="center" wrapText="1"/>
    </xf>
    <xf numFmtId="0" fontId="3" fillId="0" borderId="0" pivotButton="0" quotePrefix="0" xfId="0"/>
    <xf numFmtId="164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8" customWidth="1" min="3" max="3"/>
    <col width="8" customWidth="1" min="4" max="4"/>
    <col width="12" customWidth="1" min="5" max="5"/>
    <col width="30" customWidth="1" min="6" max="6"/>
    <col width="24" customWidth="1" min="7" max="7"/>
    <col width="48" customWidth="1" min="8" max="8"/>
  </cols>
  <sheetData>
    <row r="1">
      <c r="A1" s="1" t="inlineStr">
        <is>
          <t>RESUMEN DE CUANTIFICACIÓN – CIMENTACIÓN SÓTANO</t>
        </is>
      </c>
    </row>
    <row r="2">
      <c r="A2" s="2" t="inlineStr">
        <is>
          <t>Proyecto: Sótano – Plano S-1 Cimentación y detalles (DXF) | Fecha: 2026-10-12 | Unidades: m, m², m³</t>
        </is>
      </c>
    </row>
    <row r="4">
      <c r="A4" s="3" t="inlineStr">
        <is>
          <t>No.</t>
        </is>
      </c>
      <c r="B4" s="3" t="inlineStr">
        <is>
          <t>Elemento</t>
        </is>
      </c>
      <c r="C4" s="3" t="inlineStr">
        <is>
          <t>Sección / tipo</t>
        </is>
      </c>
      <c r="D4" s="3" t="inlineStr">
        <is>
          <t>Unidad</t>
        </is>
      </c>
      <c r="E4" s="3" t="inlineStr">
        <is>
          <t>Cantidad</t>
        </is>
      </c>
      <c r="F4" s="3" t="inlineStr">
        <is>
          <t>Método</t>
        </is>
      </c>
      <c r="G4" s="3" t="inlineStr">
        <is>
          <t>Fuente</t>
        </is>
      </c>
      <c r="H4" s="3" t="inlineStr">
        <is>
          <t>Observaciones</t>
        </is>
      </c>
    </row>
    <row r="5">
      <c r="A5" s="4" t="inlineStr">
        <is>
          <t>A. CIMENTACIÓN – EDIFICACIÓN</t>
        </is>
      </c>
      <c r="B5" s="5" t="n"/>
      <c r="C5" s="5" t="n"/>
      <c r="D5" s="5" t="n"/>
      <c r="E5" s="5" t="n"/>
      <c r="F5" s="5" t="n"/>
      <c r="G5" s="5" t="n"/>
      <c r="H5" s="6" t="n"/>
    </row>
    <row r="6">
      <c r="A6" s="7" t="n">
        <v>1</v>
      </c>
      <c r="B6" s="8" t="inlineStr">
        <is>
          <t>Zapata Z1</t>
        </is>
      </c>
      <c r="C6" s="7" t="inlineStr">
        <is>
          <t>2.20 × 2.20</t>
        </is>
      </c>
      <c r="D6" s="7" t="inlineStr">
        <is>
          <t>u</t>
        </is>
      </c>
      <c r="E6" s="9" t="n">
        <v>4</v>
      </c>
      <c r="F6" s="8" t="inlineStr">
        <is>
          <t>Conteo de bloques en DXF</t>
        </is>
      </c>
      <c r="G6" s="7" t="inlineStr">
        <is>
          <t>Capa ZAPATA (planta S-1)</t>
        </is>
      </c>
      <c r="H6" s="8" t="inlineStr">
        <is>
          <t>Z1-a, Z1-b, Z1-c, Z1-d</t>
        </is>
      </c>
    </row>
    <row r="7">
      <c r="A7" s="7" t="n">
        <v>2</v>
      </c>
      <c r="B7" s="8" t="inlineStr">
        <is>
          <t>Zapata Z1</t>
        </is>
      </c>
      <c r="C7" s="7" t="inlineStr">
        <is>
          <t>2.50 × 2.50</t>
        </is>
      </c>
      <c r="D7" s="7" t="inlineStr">
        <is>
          <t>u</t>
        </is>
      </c>
      <c r="E7" s="9" t="n">
        <v>1</v>
      </c>
      <c r="F7" s="8" t="inlineStr">
        <is>
          <t>Conteo de bloques en DXF</t>
        </is>
      </c>
      <c r="G7" s="7" t="inlineStr">
        <is>
          <t>Capa ZAPATA (planta S-1)</t>
        </is>
      </c>
      <c r="H7" s="8" t="inlineStr">
        <is>
          <t>Z1-e – RFI medida</t>
        </is>
      </c>
    </row>
    <row r="8">
      <c r="A8" s="7" t="n">
        <v>3</v>
      </c>
      <c r="B8" s="8" t="inlineStr">
        <is>
          <t>Zapata Z2</t>
        </is>
      </c>
      <c r="C8" s="7" t="inlineStr">
        <is>
          <t>3.90 × 3.90</t>
        </is>
      </c>
      <c r="D8" s="7" t="inlineStr">
        <is>
          <t>u</t>
        </is>
      </c>
      <c r="E8" s="9" t="n">
        <v>1</v>
      </c>
      <c r="F8" s="8" t="inlineStr">
        <is>
          <t>Conteo de bloques en DXF</t>
        </is>
      </c>
      <c r="G8" s="7" t="inlineStr">
        <is>
          <t>Capa ZAPATA (planta S-1)</t>
        </is>
      </c>
      <c r="H8" s="8" t="inlineStr">
        <is>
          <t>Z2</t>
        </is>
      </c>
    </row>
    <row r="9">
      <c r="A9" s="7" t="n">
        <v>4</v>
      </c>
      <c r="B9" s="8" t="inlineStr">
        <is>
          <t>Zapata Z3</t>
        </is>
      </c>
      <c r="C9" s="7" t="inlineStr">
        <is>
          <t>3.30 × 3.30</t>
        </is>
      </c>
      <c r="D9" s="7" t="inlineStr">
        <is>
          <t>u</t>
        </is>
      </c>
      <c r="E9" s="9" t="n">
        <v>3</v>
      </c>
      <c r="F9" s="8" t="inlineStr">
        <is>
          <t>Conteo de bloques en DXF</t>
        </is>
      </c>
      <c r="G9" s="7" t="inlineStr">
        <is>
          <t>Capa ZAPATA (planta S-1)</t>
        </is>
      </c>
      <c r="H9" s="8" t="inlineStr">
        <is>
          <t>Z3-a, Z3-b, Z3-c</t>
        </is>
      </c>
    </row>
    <row r="10">
      <c r="A10" s="7" t="n">
        <v>5</v>
      </c>
      <c r="B10" s="8" t="inlineStr">
        <is>
          <t>Zapata Z4</t>
        </is>
      </c>
      <c r="C10" s="7" t="inlineStr">
        <is>
          <t>2.50 × 2.50</t>
        </is>
      </c>
      <c r="D10" s="7" t="inlineStr">
        <is>
          <t>u</t>
        </is>
      </c>
      <c r="E10" s="9" t="n">
        <v>1</v>
      </c>
      <c r="F10" s="8" t="inlineStr">
        <is>
          <t>Conteo de bloques en DXF</t>
        </is>
      </c>
      <c r="G10" s="7" t="inlineStr">
        <is>
          <t>Capa ZAPATA (planta S-1)</t>
        </is>
      </c>
      <c r="H10" s="8" t="inlineStr">
        <is>
          <t>Z4</t>
        </is>
      </c>
    </row>
    <row r="11">
      <c r="A11" s="7" t="n">
        <v>6</v>
      </c>
      <c r="B11" s="8" t="inlineStr">
        <is>
          <t>Zapata Z5</t>
        </is>
      </c>
      <c r="C11" s="7" t="inlineStr">
        <is>
          <t>3.90 × 7.87</t>
        </is>
      </c>
      <c r="D11" s="7" t="inlineStr">
        <is>
          <t>u</t>
        </is>
      </c>
      <c r="E11" s="9" t="n">
        <v>1</v>
      </c>
      <c r="F11" s="8" t="inlineStr">
        <is>
          <t>Conteo de bloques en DXF</t>
        </is>
      </c>
      <c r="G11" s="7" t="inlineStr">
        <is>
          <t>Capa ZAPATA (planta S-1)</t>
        </is>
      </c>
      <c r="H11" s="8" t="inlineStr">
        <is>
          <t>Z5</t>
        </is>
      </c>
    </row>
    <row r="12">
      <c r="A12" s="7" t="n">
        <v>7</v>
      </c>
      <c r="B12" s="8" t="inlineStr">
        <is>
          <t>Zapata Z6</t>
        </is>
      </c>
      <c r="C12" s="7" t="inlineStr">
        <is>
          <t>3.73 × 3.76</t>
        </is>
      </c>
      <c r="D12" s="7" t="inlineStr">
        <is>
          <t>u</t>
        </is>
      </c>
      <c r="E12" s="9" t="n">
        <v>1</v>
      </c>
      <c r="F12" s="8" t="inlineStr">
        <is>
          <t>Conteo de bloques en DXF</t>
        </is>
      </c>
      <c r="G12" s="7" t="inlineStr">
        <is>
          <t>Capa ZAPATA (planta S-1)</t>
        </is>
      </c>
      <c r="H12" s="8" t="inlineStr">
        <is>
          <t>Z6</t>
        </is>
      </c>
    </row>
    <row r="13">
      <c r="A13" s="7" t="n">
        <v>8</v>
      </c>
      <c r="B13" s="8" t="inlineStr">
        <is>
          <t>Zapata Z7</t>
        </is>
      </c>
      <c r="C13" s="7" t="inlineStr">
        <is>
          <t>3.30 × 5.73</t>
        </is>
      </c>
      <c r="D13" s="7" t="inlineStr">
        <is>
          <t>u</t>
        </is>
      </c>
      <c r="E13" s="9" t="n">
        <v>1</v>
      </c>
      <c r="F13" s="8" t="inlineStr">
        <is>
          <t>Conteo de bloques en DXF</t>
        </is>
      </c>
      <c r="G13" s="7" t="inlineStr">
        <is>
          <t>Capa ZAPATA (planta S-1)</t>
        </is>
      </c>
      <c r="H13" s="8" t="inlineStr">
        <is>
          <t>Z7</t>
        </is>
      </c>
    </row>
    <row r="14">
      <c r="A14" s="7" t="n">
        <v>9</v>
      </c>
      <c r="B14" s="8" t="inlineStr">
        <is>
          <t>Zapata Z8</t>
        </is>
      </c>
      <c r="C14" s="7" t="inlineStr">
        <is>
          <t>6.55 × 7.09</t>
        </is>
      </c>
      <c r="D14" s="7" t="inlineStr">
        <is>
          <t>u</t>
        </is>
      </c>
      <c r="E14" s="9" t="n">
        <v>1</v>
      </c>
      <c r="F14" s="8" t="inlineStr">
        <is>
          <t>Conteo de bloques en DXF</t>
        </is>
      </c>
      <c r="G14" s="7" t="inlineStr">
        <is>
          <t>Capa ZAPATA (planta S-1)</t>
        </is>
      </c>
      <c r="H14" s="8" t="inlineStr">
        <is>
          <t>Z8</t>
        </is>
      </c>
    </row>
    <row r="15">
      <c r="A15" s="7" t="n">
        <v>10</v>
      </c>
      <c r="B15" s="8" t="inlineStr">
        <is>
          <t>Zapatas – área en planta</t>
        </is>
      </c>
      <c r="C15" s="7" t="inlineStr">
        <is>
          <t>Z1 a Z8</t>
        </is>
      </c>
      <c r="D15" s="7" t="inlineStr">
        <is>
          <t>m²</t>
        </is>
      </c>
      <c r="E15" s="10">
        <f>Zapatas!$E$19</f>
        <v/>
      </c>
      <c r="F15" s="8" t="inlineStr">
        <is>
          <t>Suma de áreas (hoja Zapatas)</t>
        </is>
      </c>
      <c r="G15" s="7" t="inlineStr">
        <is>
          <t>Capa ZAPATA</t>
        </is>
      </c>
      <c r="H15" s="8" t="inlineStr"/>
    </row>
    <row r="16">
      <c r="A16" s="7" t="n">
        <v>11</v>
      </c>
      <c r="B16" s="8" t="inlineStr">
        <is>
          <t>Zapatas – concreto</t>
        </is>
      </c>
      <c r="C16" s="7" t="inlineStr">
        <is>
          <t>Z1 a Z8</t>
        </is>
      </c>
      <c r="D16" s="7" t="inlineStr">
        <is>
          <t>m³</t>
        </is>
      </c>
      <c r="E16" s="10">
        <f>Zapatas!$G$19</f>
        <v/>
      </c>
      <c r="F16" s="8" t="inlineStr">
        <is>
          <t>Área × peralte</t>
        </is>
      </c>
      <c r="G16" s="7" t="inlineStr">
        <is>
          <t>Detalle de zapatas (xref)</t>
        </is>
      </c>
      <c r="H16" s="8" t="inlineStr">
        <is>
          <t>Pendiente: ingresar peraltes en hoja Parámetros</t>
        </is>
      </c>
    </row>
    <row r="17">
      <c r="A17" s="7" t="n">
        <v>12</v>
      </c>
      <c r="B17" s="8" t="inlineStr">
        <is>
          <t>Cimiento corrido CC1</t>
        </is>
      </c>
      <c r="C17" s="7" t="inlineStr">
        <is>
          <t>0.70</t>
        </is>
      </c>
      <c r="D17" s="7" t="inlineStr">
        <is>
          <t>ml</t>
        </is>
      </c>
      <c r="E17" s="10" t="n">
        <v>31.32</v>
      </c>
      <c r="F17" s="8" t="inlineStr">
        <is>
          <t>Huella neta / 0.70</t>
        </is>
      </c>
      <c r="G17" s="7" t="inlineStr">
        <is>
          <t>Capa CIMIENTO 004</t>
        </is>
      </c>
      <c r="H17" s="8" t="inlineStr">
        <is>
          <t>Excluye tramos bajo zapatas (incl. 13.59 ml dentro de Z8 → RFI)</t>
        </is>
      </c>
    </row>
    <row r="18">
      <c r="A18" s="7" t="n">
        <v>13</v>
      </c>
      <c r="B18" s="8" t="inlineStr">
        <is>
          <t>Cimiento corrido CC1 – huella</t>
        </is>
      </c>
      <c r="C18" s="7" t="inlineStr">
        <is>
          <t>0.70</t>
        </is>
      </c>
      <c r="D18" s="7" t="inlineStr">
        <is>
          <t>m²</t>
        </is>
      </c>
      <c r="E18" s="10" t="n">
        <v>21.92</v>
      </c>
      <c r="F18" s="8" t="inlineStr">
        <is>
          <t>Unión de franjas − MC1 − zapatas</t>
        </is>
      </c>
      <c r="G18" s="7" t="inlineStr">
        <is>
          <t>Capa CIMIENTO 004</t>
        </is>
      </c>
      <c r="H18" s="8" t="inlineStr"/>
    </row>
    <row r="19">
      <c r="A19" s="7" t="n">
        <v>14</v>
      </c>
      <c r="B19" s="8" t="inlineStr">
        <is>
          <t>Cimiento corrido CC1 – concreto</t>
        </is>
      </c>
      <c r="C19" s="7" t="inlineStr">
        <is>
          <t>0.70</t>
        </is>
      </c>
      <c r="D19" s="7" t="inlineStr">
        <is>
          <t>m³</t>
        </is>
      </c>
      <c r="E19" s="10">
        <f>IF(Parámetros!$B$13="","pendiente",21.925*Parámetros!$B$13)</f>
        <v/>
      </c>
      <c r="F19" s="8" t="inlineStr">
        <is>
          <t>Huella × peralte</t>
        </is>
      </c>
      <c r="G19" s="7" t="inlineStr">
        <is>
          <t>Detalle típico CC1 (xref)</t>
        </is>
      </c>
      <c r="H19" s="8" t="inlineStr">
        <is>
          <t>Pendiente peralte</t>
        </is>
      </c>
    </row>
    <row r="20">
      <c r="A20" s="7" t="n">
        <v>15</v>
      </c>
      <c r="B20" s="8" t="inlineStr">
        <is>
          <t>Solera SA</t>
        </is>
      </c>
      <c r="C20" s="7" t="inlineStr">
        <is>
          <t>0.30</t>
        </is>
      </c>
      <c r="D20" s="7" t="inlineStr">
        <is>
          <t>ml</t>
        </is>
      </c>
      <c r="E20" s="10">
        <f>'Soleras SA'!$B$17</f>
        <v/>
      </c>
      <c r="F20" s="8" t="inlineStr">
        <is>
          <t>Suma de tramos según trazo</t>
        </is>
      </c>
      <c r="G20" s="7" t="inlineStr">
        <is>
          <t>Capa S-solera de amarre 003</t>
        </is>
      </c>
      <c r="H20" s="8" t="inlineStr">
        <is>
          <t>Fuera de zapatas: 26.34 ml. Usar según nivel del detalle SA</t>
        </is>
      </c>
    </row>
    <row r="21">
      <c r="A21" s="7" t="n">
        <v>16</v>
      </c>
      <c r="B21" s="8" t="inlineStr">
        <is>
          <t>Columnas (arranques sobre zapata)</t>
        </is>
      </c>
      <c r="C21" s="7" t="inlineStr">
        <is>
          <t>C1–C7</t>
        </is>
      </c>
      <c r="D21" s="7" t="inlineStr">
        <is>
          <t>u</t>
        </is>
      </c>
      <c r="E21" s="9" t="n">
        <v>19</v>
      </c>
      <c r="F21" s="8" t="inlineStr">
        <is>
          <t>Conteo de etiquetas</t>
        </is>
      </c>
      <c r="G21" s="7" t="inlineStr">
        <is>
          <t>Textos TEX5</t>
        </is>
      </c>
      <c r="H21" s="8" t="inlineStr">
        <is>
          <t>C1: 3, C2: 2, C3: 1, C4: 3, C5: 8, C6: 1, C7: 1. Secciones en detalle de columnas (xref)</t>
        </is>
      </c>
    </row>
    <row r="22">
      <c r="A22" s="7" t="n">
        <v>17</v>
      </c>
      <c r="B22" s="8" t="inlineStr">
        <is>
          <t>Contrapiso CP</t>
        </is>
      </c>
      <c r="C22" s="7" t="inlineStr">
        <is>
          <t>t = 0.10</t>
        </is>
      </c>
      <c r="D22" s="7" t="inlineStr">
        <is>
          <t>m²</t>
        </is>
      </c>
      <c r="E22" s="10" t="n">
        <v>285.46</v>
      </c>
      <c r="F22" s="8" t="inlineStr">
        <is>
          <t>Área neta de hatch (par-impar)</t>
        </is>
      </c>
      <c r="G22" s="7" t="inlineStr">
        <is>
          <t>Capa S-contrapiso 001</t>
        </is>
      </c>
      <c r="H22" s="8" t="inlineStr"/>
    </row>
    <row r="23">
      <c r="A23" s="7" t="n">
        <v>18</v>
      </c>
      <c r="B23" s="8" t="inlineStr">
        <is>
          <t>Contrapiso CP – concreto</t>
        </is>
      </c>
      <c r="C23" s="7" t="inlineStr">
        <is>
          <t>t = 0.10</t>
        </is>
      </c>
      <c r="D23" s="7" t="inlineStr">
        <is>
          <t>m³</t>
        </is>
      </c>
      <c r="E23" s="10">
        <f>ROUND(285.462*Parámetros!$B$18,3)</f>
        <v/>
      </c>
      <c r="F23" s="8" t="inlineStr">
        <is>
          <t>Área × espesor</t>
        </is>
      </c>
      <c r="G23" s="7" t="inlineStr">
        <is>
          <t>Leyenda CP</t>
        </is>
      </c>
      <c r="H23" s="8" t="inlineStr"/>
    </row>
    <row r="24">
      <c r="A24" s="4" t="inlineStr">
        <is>
          <t>B. MURO DE CONTENCIÓN MC1 (grupo independiente)</t>
        </is>
      </c>
      <c r="B24" s="5" t="n"/>
      <c r="C24" s="5" t="n"/>
      <c r="D24" s="5" t="n"/>
      <c r="E24" s="5" t="n"/>
      <c r="F24" s="5" t="n"/>
      <c r="G24" s="5" t="n"/>
      <c r="H24" s="6" t="n"/>
    </row>
    <row r="25">
      <c r="A25" s="7" t="n">
        <v>19</v>
      </c>
      <c r="B25" s="8" t="inlineStr">
        <is>
          <t>Cimiento MC1</t>
        </is>
      </c>
      <c r="C25" s="7" t="inlineStr">
        <is>
          <t>1.00</t>
        </is>
      </c>
      <c r="D25" s="7" t="inlineStr">
        <is>
          <t>ml</t>
        </is>
      </c>
      <c r="E25" s="10" t="n">
        <v>80.93000000000001</v>
      </c>
      <c r="F25" s="8" t="inlineStr">
        <is>
          <t>Huella neta / 1.00</t>
        </is>
      </c>
      <c r="G25" s="7" t="inlineStr">
        <is>
          <t>Capa CIMIENTO 004</t>
        </is>
      </c>
      <c r="H25" s="8" t="inlineStr">
        <is>
          <t>Excluye 31.79 m² bajo zapatas (Z2, Z3, Z5, Z8, Z1)</t>
        </is>
      </c>
    </row>
    <row r="26">
      <c r="A26" s="7" t="n">
        <v>20</v>
      </c>
      <c r="B26" s="8" t="inlineStr">
        <is>
          <t>Cimiento MC1 – huella</t>
        </is>
      </c>
      <c r="C26" s="7" t="inlineStr">
        <is>
          <t>1.00</t>
        </is>
      </c>
      <c r="D26" s="7" t="inlineStr">
        <is>
          <t>m²</t>
        </is>
      </c>
      <c r="E26" s="10" t="n">
        <v>80.93000000000001</v>
      </c>
      <c r="F26" s="8" t="inlineStr">
        <is>
          <t>Unión de franjas + 7 juntas</t>
        </is>
      </c>
      <c r="G26" s="7" t="inlineStr">
        <is>
          <t>Capa CIMIENTO 004</t>
        </is>
      </c>
      <c r="H26" s="8" t="inlineStr">
        <is>
          <t>Verificación independiente Δ 0.8 %</t>
        </is>
      </c>
    </row>
    <row r="27">
      <c r="A27" s="7" t="n">
        <v>21</v>
      </c>
      <c r="B27" s="8" t="inlineStr">
        <is>
          <t>Cimiento MC1 – concreto</t>
        </is>
      </c>
      <c r="C27" s="7" t="inlineStr">
        <is>
          <t>1.00</t>
        </is>
      </c>
      <c r="D27" s="7" t="inlineStr">
        <is>
          <t>m³</t>
        </is>
      </c>
      <c r="E27" s="10">
        <f>IF(Parámetros!$B$14="","pendiente",80.927*Parámetros!$B$14)</f>
        <v/>
      </c>
      <c r="F27" s="8" t="inlineStr">
        <is>
          <t>Huella × peralte</t>
        </is>
      </c>
      <c r="G27" s="7" t="inlineStr">
        <is>
          <t>Detalle MC1 (xref)</t>
        </is>
      </c>
      <c r="H27" s="8" t="inlineStr">
        <is>
          <t>Pendiente peralte</t>
        </is>
      </c>
    </row>
    <row r="28">
      <c r="A28" s="7" t="n">
        <v>22</v>
      </c>
      <c r="B28" s="8" t="inlineStr">
        <is>
          <t>Concreto pobre bajo cimiento MC1</t>
        </is>
      </c>
      <c r="C28" s="7" t="inlineStr">
        <is>
          <t>t = 0.04</t>
        </is>
      </c>
      <c r="D28" s="7" t="inlineStr">
        <is>
          <t>m³</t>
        </is>
      </c>
      <c r="E28" s="10">
        <f>ROUND(80.927*Parámetros!$B$17,3)</f>
        <v/>
      </c>
      <c r="F28" s="8" t="inlineStr">
        <is>
          <t>Huella neta × 0.04</t>
        </is>
      </c>
      <c r="G28" s="7" t="inlineStr">
        <is>
          <t>Nota 1, detalle MC1</t>
        </is>
      </c>
      <c r="H28" s="8" t="inlineStr">
        <is>
          <t>[Supuesto] solo bajo cimiento MC1</t>
        </is>
      </c>
    </row>
    <row r="29">
      <c r="A29" s="7" t="n">
        <v>23</v>
      </c>
      <c r="B29" s="8" t="inlineStr">
        <is>
          <t>Muro MC1</t>
        </is>
      </c>
      <c r="C29" s="7" t="inlineStr">
        <is>
          <t>—</t>
        </is>
      </c>
      <c r="D29" s="7" t="inlineStr">
        <is>
          <t>ml</t>
        </is>
      </c>
      <c r="E29" s="10" t="n">
        <v>112.72</v>
      </c>
      <c r="F29" s="8" t="inlineStr">
        <is>
          <t>Huella bruta / 1.00 (continuo sobre zapatas)</t>
        </is>
      </c>
      <c r="G29" s="7" t="inlineStr">
        <is>
          <t>Capa CIMIENTO 004</t>
        </is>
      </c>
      <c r="H29" s="8" t="inlineStr">
        <is>
          <t>[Supuesto] el muro corre continuo; altura pendiente</t>
        </is>
      </c>
    </row>
    <row r="30">
      <c r="A30" s="7" t="n">
        <v>24</v>
      </c>
      <c r="B30" s="8" t="inlineStr">
        <is>
          <t>Muro MC1 – área</t>
        </is>
      </c>
      <c r="C30" s="7" t="inlineStr">
        <is>
          <t>—</t>
        </is>
      </c>
      <c r="D30" s="7" t="inlineStr">
        <is>
          <t>m²</t>
        </is>
      </c>
      <c r="E30" s="10">
        <f>IF(Parámetros!$B$15="","pendiente",112.72*Parámetros!$B$15)</f>
        <v/>
      </c>
      <c r="F30" s="8" t="inlineStr">
        <is>
          <t>ml × altura</t>
        </is>
      </c>
      <c r="G30" s="7" t="inlineStr">
        <is>
          <t>Detalle MC1 (xref)</t>
        </is>
      </c>
      <c r="H30" s="8" t="inlineStr">
        <is>
          <t>Pendiente altura</t>
        </is>
      </c>
    </row>
    <row r="31">
      <c r="A31" s="7" t="n">
        <v>25</v>
      </c>
      <c r="B31" s="8" t="inlineStr">
        <is>
          <t>Drenaje francés tubo Ø 6" perforado</t>
        </is>
      </c>
      <c r="C31" s="7" t="inlineStr">
        <is>
          <t>—</t>
        </is>
      </c>
      <c r="D31" s="7" t="inlineStr">
        <is>
          <t>ml</t>
        </is>
      </c>
      <c r="E31" s="10" t="n">
        <v>112.72</v>
      </c>
      <c r="F31" s="8" t="inlineStr">
        <is>
          <t>Igual a longitud de muro</t>
        </is>
      </c>
      <c r="G31" s="7" t="inlineStr">
        <is>
          <t>Nota 3, detalle MC1</t>
        </is>
      </c>
      <c r="H31" s="8" t="inlineStr">
        <is>
          <t>[Supuesto] a todo lo largo del muro</t>
        </is>
      </c>
    </row>
    <row r="32">
      <c r="A32" s="7" t="n">
        <v>26</v>
      </c>
      <c r="B32" s="8" t="inlineStr">
        <is>
          <t>Geocompuesto drenante (Mac Drain 1L)</t>
        </is>
      </c>
      <c r="C32" s="7" t="inlineStr">
        <is>
          <t>—</t>
        </is>
      </c>
      <c r="D32" s="7" t="inlineStr">
        <is>
          <t>m²</t>
        </is>
      </c>
      <c r="E32" s="10">
        <f>IF(Parámetros!$B$15="","pendiente",112.72*Parámetros!$B$15)</f>
        <v/>
      </c>
      <c r="F32" s="8" t="inlineStr">
        <is>
          <t>ml × altura</t>
        </is>
      </c>
      <c r="G32" s="7" t="inlineStr">
        <is>
          <t>Nota 4, detalle MC1</t>
        </is>
      </c>
      <c r="H32" s="8" t="inlineStr">
        <is>
          <t>Pendiente altura</t>
        </is>
      </c>
    </row>
    <row r="33">
      <c r="A33" s="7" t="n">
        <v>27</v>
      </c>
      <c r="B33" s="8" t="inlineStr">
        <is>
          <t>Impermeabilización cara expuesta (Sikatop 144)</t>
        </is>
      </c>
      <c r="C33" s="7" t="inlineStr">
        <is>
          <t>—</t>
        </is>
      </c>
      <c r="D33" s="7" t="inlineStr">
        <is>
          <t>m²</t>
        </is>
      </c>
      <c r="E33" s="10">
        <f>IF(Parámetros!$B$15="","pendiente",112.72*Parámetros!$B$15)</f>
        <v/>
      </c>
      <c r="F33" s="8" t="inlineStr">
        <is>
          <t>ml × altura</t>
        </is>
      </c>
      <c r="G33" s="7" t="inlineStr">
        <is>
          <t>Nota 5, detalle MC1</t>
        </is>
      </c>
      <c r="H33" s="8" t="inlineStr">
        <is>
          <t>Pendiente altura</t>
        </is>
      </c>
    </row>
    <row r="34">
      <c r="A34" s="7" t="n">
        <v>28</v>
      </c>
      <c r="B34" s="8" t="inlineStr">
        <is>
          <t>Pines (detalles DP)</t>
        </is>
      </c>
      <c r="C34" s="7" t="inlineStr">
        <is>
          <t>DP2/DP3/DP4/DP5</t>
        </is>
      </c>
      <c r="D34" s="7" t="inlineStr">
        <is>
          <t>—</t>
        </is>
      </c>
      <c r="E34" s="10" t="inlineStr">
        <is>
          <t>ver obs.</t>
        </is>
      </c>
      <c r="F34" s="8" t="inlineStr">
        <is>
          <t>Conteo de llamadas</t>
        </is>
      </c>
      <c r="G34" s="7" t="inlineStr">
        <is>
          <t>Textos S-text 003</t>
        </is>
      </c>
      <c r="H34" s="8" t="inlineStr">
        <is>
          <t>Llamadas: DP2 = 39, DP3 = 3, DP4 = 6, DP5 = 20. Cantidad de pines = separación de detalle (xref) → pendiente</t>
        </is>
      </c>
    </row>
    <row r="36">
      <c r="A36" s="2" t="inlineStr">
        <is>
          <t>Excavación, relleno y acero de refuerzo: pendientes del nivel de desplante y de los armados (xref de detalles no incluidos en el DXF). Ver hoja Pendientes.</t>
        </is>
      </c>
    </row>
  </sheetData>
  <mergeCells count="3">
    <mergeCell ref="A24:H24"/>
    <mergeCell ref="A36:H36"/>
    <mergeCell ref="A5:H5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  <col width="58" customWidth="1" min="4" max="4"/>
  </cols>
  <sheetData>
    <row r="1">
      <c r="A1" s="1" t="inlineStr">
        <is>
          <t>PARÁMETROS DE SECCIÓN</t>
        </is>
      </c>
    </row>
    <row r="2">
      <c r="A2" s="2" t="inlineStr">
        <is>
          <t>Proyecto: Sótano – Plano S-1 Cimentación y detalles (DXF) | Fecha: 2026-10-12 | Unidades: m, m², m³ | Celdas amarillas = dato pendiente de detalle (xref no incluido)</t>
        </is>
      </c>
    </row>
    <row r="4">
      <c r="A4" s="3" t="inlineStr">
        <is>
          <t>Parámetro</t>
        </is>
      </c>
      <c r="B4" s="3" t="inlineStr">
        <is>
          <t>Valor</t>
        </is>
      </c>
      <c r="C4" s="3" t="inlineStr">
        <is>
          <t>Unidad</t>
        </is>
      </c>
      <c r="D4" s="3" t="inlineStr">
        <is>
          <t>Fuente / estado</t>
        </is>
      </c>
    </row>
    <row r="5">
      <c r="A5" s="8" t="inlineStr">
        <is>
          <t>Peralte zapata Z1</t>
        </is>
      </c>
      <c r="B5" s="11" t="inlineStr"/>
      <c r="C5" s="7" t="inlineStr">
        <is>
          <t>m</t>
        </is>
      </c>
      <c r="D5" s="8" t="inlineStr">
        <is>
          <t>PENDIENTE – Xref_Detalles_de_Cimetacion</t>
        </is>
      </c>
    </row>
    <row r="6">
      <c r="A6" s="8" t="inlineStr">
        <is>
          <t>Peralte zapata Z2</t>
        </is>
      </c>
      <c r="B6" s="11" t="inlineStr"/>
      <c r="C6" s="7" t="inlineStr">
        <is>
          <t>m</t>
        </is>
      </c>
      <c r="D6" s="8" t="inlineStr">
        <is>
          <t>PENDIENTE</t>
        </is>
      </c>
    </row>
    <row r="7">
      <c r="A7" s="8" t="inlineStr">
        <is>
          <t>Peralte zapata Z3</t>
        </is>
      </c>
      <c r="B7" s="11" t="inlineStr"/>
      <c r="C7" s="7" t="inlineStr">
        <is>
          <t>m</t>
        </is>
      </c>
      <c r="D7" s="8" t="inlineStr">
        <is>
          <t>PENDIENTE</t>
        </is>
      </c>
    </row>
    <row r="8">
      <c r="A8" s="8" t="inlineStr">
        <is>
          <t>Peralte zapata Z4</t>
        </is>
      </c>
      <c r="B8" s="11" t="inlineStr"/>
      <c r="C8" s="7" t="inlineStr">
        <is>
          <t>m</t>
        </is>
      </c>
      <c r="D8" s="8" t="inlineStr">
        <is>
          <t>PENDIENTE</t>
        </is>
      </c>
    </row>
    <row r="9">
      <c r="A9" s="8" t="inlineStr">
        <is>
          <t>Peralte zapata Z5</t>
        </is>
      </c>
      <c r="B9" s="11" t="inlineStr"/>
      <c r="C9" s="7" t="inlineStr">
        <is>
          <t>m</t>
        </is>
      </c>
      <c r="D9" s="8" t="inlineStr">
        <is>
          <t>PENDIENTE</t>
        </is>
      </c>
    </row>
    <row r="10">
      <c r="A10" s="8" t="inlineStr">
        <is>
          <t>Peralte zapata Z6</t>
        </is>
      </c>
      <c r="B10" s="11" t="inlineStr"/>
      <c r="C10" s="7" t="inlineStr">
        <is>
          <t>m</t>
        </is>
      </c>
      <c r="D10" s="8" t="inlineStr">
        <is>
          <t>PENDIENTE</t>
        </is>
      </c>
    </row>
    <row r="11">
      <c r="A11" s="8" t="inlineStr">
        <is>
          <t>Peralte zapata Z7</t>
        </is>
      </c>
      <c r="B11" s="11" t="inlineStr"/>
      <c r="C11" s="7" t="inlineStr">
        <is>
          <t>m</t>
        </is>
      </c>
      <c r="D11" s="8" t="inlineStr">
        <is>
          <t>PENDIENTE</t>
        </is>
      </c>
    </row>
    <row r="12">
      <c r="A12" s="8" t="inlineStr">
        <is>
          <t>Peralte zapata Z8</t>
        </is>
      </c>
      <c r="B12" s="11" t="inlineStr"/>
      <c r="C12" s="7" t="inlineStr">
        <is>
          <t>m</t>
        </is>
      </c>
      <c r="D12" s="8" t="inlineStr">
        <is>
          <t>PENDIENTE</t>
        </is>
      </c>
    </row>
    <row r="13">
      <c r="A13" s="8" t="inlineStr">
        <is>
          <t>Peralte cimiento corrido CC1</t>
        </is>
      </c>
      <c r="B13" s="11" t="inlineStr"/>
      <c r="C13" s="7" t="inlineStr">
        <is>
          <t>m</t>
        </is>
      </c>
      <c r="D13" s="8" t="inlineStr">
        <is>
          <t>PENDIENTE – detalle típico CC1</t>
        </is>
      </c>
    </row>
    <row r="14">
      <c r="A14" s="8" t="inlineStr">
        <is>
          <t>Peralte cimiento MC1</t>
        </is>
      </c>
      <c r="B14" s="11" t="inlineStr"/>
      <c r="C14" s="7" t="inlineStr">
        <is>
          <t>m</t>
        </is>
      </c>
      <c r="D14" s="8" t="inlineStr">
        <is>
          <t>PENDIENTE – detalle MC1</t>
        </is>
      </c>
    </row>
    <row r="15">
      <c r="A15" s="8" t="inlineStr">
        <is>
          <t>Altura muro MC1 (relleno)</t>
        </is>
      </c>
      <c r="B15" s="11" t="inlineStr"/>
      <c r="C15" s="7" t="inlineStr">
        <is>
          <t>m</t>
        </is>
      </c>
      <c r="D15" s="8" t="inlineStr">
        <is>
          <t>PENDIENTE – detalle MC1</t>
        </is>
      </c>
    </row>
    <row r="16">
      <c r="A16" s="8" t="inlineStr">
        <is>
          <t>Peralte solera SA</t>
        </is>
      </c>
      <c r="B16" s="11" t="inlineStr"/>
      <c r="C16" s="7" t="inlineStr">
        <is>
          <t>m</t>
        </is>
      </c>
      <c r="D16" s="8" t="inlineStr">
        <is>
          <t>PENDIENTE – detalle SA</t>
        </is>
      </c>
    </row>
    <row r="17">
      <c r="A17" s="8" t="inlineStr">
        <is>
          <t>Espesor concreto pobre</t>
        </is>
      </c>
      <c r="B17" s="10" t="n">
        <v>0.04</v>
      </c>
      <c r="C17" s="7" t="inlineStr">
        <is>
          <t>m</t>
        </is>
      </c>
      <c r="D17" s="8" t="inlineStr">
        <is>
          <t>Dato – nota 1 detalle MC1</t>
        </is>
      </c>
    </row>
    <row r="18">
      <c r="A18" s="8" t="inlineStr">
        <is>
          <t>Espesor contrapiso CP</t>
        </is>
      </c>
      <c r="B18" s="10" t="n">
        <v>0.1</v>
      </c>
      <c r="C18" s="7" t="inlineStr">
        <is>
          <t>m</t>
        </is>
      </c>
      <c r="D18" s="8" t="inlineStr">
        <is>
          <t>Dato – leyenda CP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9" customWidth="1" min="3" max="3"/>
    <col width="9" customWidth="1" min="4" max="4"/>
    <col width="10" customWidth="1" min="5" max="5"/>
    <col width="10" customWidth="1" min="6" max="6"/>
    <col width="11" customWidth="1" min="7" max="7"/>
    <col width="11" customWidth="1" min="8" max="8"/>
    <col width="11" customWidth="1" min="9" max="9"/>
    <col width="46" customWidth="1" min="10" max="10"/>
  </cols>
  <sheetData>
    <row r="1">
      <c r="A1" s="1" t="inlineStr">
        <is>
          <t>ZAPATAS – EXTRACCIÓN</t>
        </is>
      </c>
    </row>
    <row r="2">
      <c r="A2" s="2" t="inlineStr">
        <is>
          <t>Proyecto: Sótano – Plano S-1 Cimentación y detalles (DXF) | Fecha: 2026-10-12 | Unidades: m, m², m³</t>
        </is>
      </c>
    </row>
    <row r="3">
      <c r="C3" s="2" t="inlineStr">
        <is>
          <t>m</t>
        </is>
      </c>
      <c r="E3" s="2" t="inlineStr">
        <is>
          <t>m²</t>
        </is>
      </c>
      <c r="G3" s="2" t="inlineStr">
        <is>
          <t>m³</t>
        </is>
      </c>
    </row>
    <row r="4">
      <c r="A4" s="3" t="inlineStr">
        <is>
          <t>ID</t>
        </is>
      </c>
      <c r="B4" s="3" t="inlineStr">
        <is>
          <t>Tipo</t>
        </is>
      </c>
      <c r="C4" s="3" t="inlineStr">
        <is>
          <t>Largo</t>
        </is>
      </c>
      <c r="D4" s="3" t="inlineStr">
        <is>
          <t>Ancho</t>
        </is>
      </c>
      <c r="E4" s="3" t="inlineStr">
        <is>
          <t>Área</t>
        </is>
      </c>
      <c r="F4" s="3" t="inlineStr">
        <is>
          <t>Peralte</t>
        </is>
      </c>
      <c r="G4" s="3" t="inlineStr">
        <is>
          <t>Volumen</t>
        </is>
      </c>
      <c r="H4" s="3" t="inlineStr">
        <is>
          <t>Centro X</t>
        </is>
      </c>
      <c r="I4" s="3" t="inlineStr">
        <is>
          <t>Centro Y</t>
        </is>
      </c>
      <c r="J4" s="3" t="inlineStr">
        <is>
          <t>Observaciones</t>
        </is>
      </c>
    </row>
    <row r="5">
      <c r="A5" s="7" t="inlineStr">
        <is>
          <t>Z1-a</t>
        </is>
      </c>
      <c r="B5" s="7" t="inlineStr">
        <is>
          <t>Z1</t>
        </is>
      </c>
      <c r="C5" s="10" t="n">
        <v>2.2</v>
      </c>
      <c r="D5" s="10" t="n">
        <v>2.2</v>
      </c>
      <c r="E5" s="10" t="n">
        <v>4.84</v>
      </c>
      <c r="F5" s="10">
        <f>IF(Parámetros!$B$5="","",Parámetros!$B$5)</f>
        <v/>
      </c>
      <c r="G5" s="10">
        <f>IF(F5="","",E5*F5)</f>
        <v/>
      </c>
      <c r="H5" s="10" t="n">
        <v>-13.25</v>
      </c>
      <c r="I5" s="10" t="n">
        <v>-6.52</v>
      </c>
      <c r="J5" s="8" t="inlineStr"/>
    </row>
    <row r="6">
      <c r="A6" s="7" t="inlineStr">
        <is>
          <t>Z1-b</t>
        </is>
      </c>
      <c r="B6" s="7" t="inlineStr">
        <is>
          <t>Z1</t>
        </is>
      </c>
      <c r="C6" s="10" t="n">
        <v>2.2</v>
      </c>
      <c r="D6" s="10" t="n">
        <v>2.201</v>
      </c>
      <c r="E6" s="10" t="n">
        <v>4.842</v>
      </c>
      <c r="F6" s="10">
        <f>IF(Parámetros!$B$5="","",Parámetros!$B$5)</f>
        <v/>
      </c>
      <c r="G6" s="10">
        <f>IF(F6="","",E6*F6)</f>
        <v/>
      </c>
      <c r="H6" s="10" t="n">
        <v>-26.96</v>
      </c>
      <c r="I6" s="10" t="n">
        <v>-7.89</v>
      </c>
      <c r="J6" s="8" t="inlineStr"/>
    </row>
    <row r="7">
      <c r="A7" s="7" t="inlineStr">
        <is>
          <t>Z1-c</t>
        </is>
      </c>
      <c r="B7" s="7" t="inlineStr">
        <is>
          <t>Z1</t>
        </is>
      </c>
      <c r="C7" s="10" t="n">
        <v>2.2</v>
      </c>
      <c r="D7" s="10" t="n">
        <v>2.2</v>
      </c>
      <c r="E7" s="10" t="n">
        <v>4.839</v>
      </c>
      <c r="F7" s="10">
        <f>IF(Parámetros!$B$5="","",Parámetros!$B$5)</f>
        <v/>
      </c>
      <c r="G7" s="10">
        <f>IF(F7="","",E7*F7)</f>
        <v/>
      </c>
      <c r="H7" s="10" t="n">
        <v>7.19</v>
      </c>
      <c r="I7" s="10" t="n">
        <v>-6.09</v>
      </c>
      <c r="J7" s="8" t="inlineStr"/>
    </row>
    <row r="8">
      <c r="A8" s="7" t="inlineStr">
        <is>
          <t>Z1-d</t>
        </is>
      </c>
      <c r="B8" s="7" t="inlineStr">
        <is>
          <t>Z1</t>
        </is>
      </c>
      <c r="C8" s="10" t="n">
        <v>2.201</v>
      </c>
      <c r="D8" s="10" t="n">
        <v>2.2</v>
      </c>
      <c r="E8" s="10" t="n">
        <v>4.84</v>
      </c>
      <c r="F8" s="10">
        <f>IF(Parámetros!$B$5="","",Parámetros!$B$5)</f>
        <v/>
      </c>
      <c r="G8" s="10">
        <f>IF(F8="","",E8*F8)</f>
        <v/>
      </c>
      <c r="H8" s="10" t="n">
        <v>11.21</v>
      </c>
      <c r="I8" s="10" t="n">
        <v>3.55</v>
      </c>
      <c r="J8" s="8" t="inlineStr"/>
    </row>
    <row r="9">
      <c r="A9" s="7" t="inlineStr">
        <is>
          <t>Z1-e</t>
        </is>
      </c>
      <c r="B9" s="7" t="inlineStr">
        <is>
          <t>Z1</t>
        </is>
      </c>
      <c r="C9" s="10" t="n">
        <v>2.5</v>
      </c>
      <c r="D9" s="10" t="n">
        <v>2.5</v>
      </c>
      <c r="E9" s="10" t="n">
        <v>6.249</v>
      </c>
      <c r="F9" s="10">
        <f>IF(Parámetros!$B$5="","",Parámetros!$B$5)</f>
        <v/>
      </c>
      <c r="G9" s="10">
        <f>IF(F9="","",E9*F9)</f>
        <v/>
      </c>
      <c r="H9" s="10" t="n">
        <v>5.58</v>
      </c>
      <c r="I9" s="10" t="n">
        <v>5.9</v>
      </c>
      <c r="J9" s="8" t="inlineStr">
        <is>
          <t>Dibujada 2.50×2.50; las otras 4 Z1 miden 2.20×2.20 → RFI</t>
        </is>
      </c>
    </row>
    <row r="10">
      <c r="A10" s="7" t="inlineStr">
        <is>
          <t>Z2</t>
        </is>
      </c>
      <c r="B10" s="7" t="inlineStr">
        <is>
          <t>Z2</t>
        </is>
      </c>
      <c r="C10" s="10" t="n">
        <v>3.9</v>
      </c>
      <c r="D10" s="10" t="n">
        <v>3.9</v>
      </c>
      <c r="E10" s="10" t="n">
        <v>15.21</v>
      </c>
      <c r="F10" s="10">
        <f>IF(Parámetros!$B$6="","",Parámetros!$B$6)</f>
        <v/>
      </c>
      <c r="G10" s="10">
        <f>IF(F10="","",E10*F10)</f>
        <v/>
      </c>
      <c r="H10" s="10" t="n">
        <v>-0.06</v>
      </c>
      <c r="I10" s="10" t="n">
        <v>6.88</v>
      </c>
      <c r="J10" s="8" t="inlineStr"/>
    </row>
    <row r="11">
      <c r="A11" s="7" t="inlineStr">
        <is>
          <t>Z3-a</t>
        </is>
      </c>
      <c r="B11" s="7" t="inlineStr">
        <is>
          <t>Z3</t>
        </is>
      </c>
      <c r="C11" s="10" t="n">
        <v>3.3</v>
      </c>
      <c r="D11" s="10" t="n">
        <v>3.3</v>
      </c>
      <c r="E11" s="10" t="n">
        <v>10.89</v>
      </c>
      <c r="F11" s="10">
        <f>IF(Parámetros!$B$7="","",Parámetros!$B$7)</f>
        <v/>
      </c>
      <c r="G11" s="10">
        <f>IF(F11="","",E11*F11)</f>
        <v/>
      </c>
      <c r="H11" s="10" t="n">
        <v>-17.01</v>
      </c>
      <c r="I11" s="10" t="n">
        <v>6.37</v>
      </c>
      <c r="J11" s="8" t="inlineStr">
        <is>
          <t>Lado norte bajo MC1 (línea oculta); se toma 3.30 como Z3 típica</t>
        </is>
      </c>
    </row>
    <row r="12">
      <c r="A12" s="7" t="inlineStr">
        <is>
          <t>Z3-b</t>
        </is>
      </c>
      <c r="B12" s="7" t="inlineStr">
        <is>
          <t>Z3</t>
        </is>
      </c>
      <c r="C12" s="10" t="n">
        <v>3.3</v>
      </c>
      <c r="D12" s="10" t="n">
        <v>3.3</v>
      </c>
      <c r="E12" s="10" t="n">
        <v>10.89</v>
      </c>
      <c r="F12" s="10">
        <f>IF(Parámetros!$B$7="","",Parámetros!$B$7)</f>
        <v/>
      </c>
      <c r="G12" s="10">
        <f>IF(F12="","",E12*F12)</f>
        <v/>
      </c>
      <c r="H12" s="10" t="n">
        <v>-11.24</v>
      </c>
      <c r="I12" s="10" t="n">
        <v>1.33</v>
      </c>
      <c r="J12" s="8" t="inlineStr"/>
    </row>
    <row r="13">
      <c r="A13" s="7" t="inlineStr">
        <is>
          <t>Z3-c</t>
        </is>
      </c>
      <c r="B13" s="7" t="inlineStr">
        <is>
          <t>Z3</t>
        </is>
      </c>
      <c r="C13" s="10" t="n">
        <v>3.3</v>
      </c>
      <c r="D13" s="10" t="n">
        <v>3.3</v>
      </c>
      <c r="E13" s="10" t="n">
        <v>10.89</v>
      </c>
      <c r="F13" s="10">
        <f>IF(Parámetros!$B$7="","",Parámetros!$B$7)</f>
        <v/>
      </c>
      <c r="G13" s="10">
        <f>IF(F13="","",E13*F13)</f>
        <v/>
      </c>
      <c r="H13" s="10" t="n">
        <v>-9.699999999999999</v>
      </c>
      <c r="I13" s="10" t="n">
        <v>-2.11</v>
      </c>
      <c r="J13" s="8" t="inlineStr"/>
    </row>
    <row r="14">
      <c r="A14" s="7" t="inlineStr">
        <is>
          <t>Z4</t>
        </is>
      </c>
      <c r="B14" s="7" t="inlineStr">
        <is>
          <t>Z4</t>
        </is>
      </c>
      <c r="C14" s="10" t="n">
        <v>2.5</v>
      </c>
      <c r="D14" s="10" t="n">
        <v>2.5</v>
      </c>
      <c r="E14" s="10" t="n">
        <v>6.25</v>
      </c>
      <c r="F14" s="10">
        <f>IF(Parámetros!$B$8="","",Parámetros!$B$8)</f>
        <v/>
      </c>
      <c r="G14" s="10">
        <f>IF(F14="","",E14*F14)</f>
        <v/>
      </c>
      <c r="H14" s="10" t="n">
        <v>-25.07</v>
      </c>
      <c r="I14" s="10" t="n">
        <v>-5.75</v>
      </c>
      <c r="J14" s="8" t="inlineStr"/>
    </row>
    <row r="15">
      <c r="A15" s="7" t="inlineStr">
        <is>
          <t>Z5</t>
        </is>
      </c>
      <c r="B15" s="7" t="inlineStr">
        <is>
          <t>Z5</t>
        </is>
      </c>
      <c r="C15" s="10" t="n">
        <v>3.901</v>
      </c>
      <c r="D15" s="10" t="n">
        <v>7.871</v>
      </c>
      <c r="E15" s="10" t="n">
        <v>30.704</v>
      </c>
      <c r="F15" s="10">
        <f>IF(Parámetros!$B$9="","",Parámetros!$B$9)</f>
        <v/>
      </c>
      <c r="G15" s="10">
        <f>IF(F15="","",E15*F15)</f>
        <v/>
      </c>
      <c r="H15" s="10" t="n">
        <v>-16.91</v>
      </c>
      <c r="I15" s="10" t="n">
        <v>-10.49</v>
      </c>
      <c r="J15" s="8" t="inlineStr">
        <is>
          <t>Cotas en plano 7.90 × 3.90</t>
        </is>
      </c>
    </row>
    <row r="16">
      <c r="A16" s="7" t="inlineStr">
        <is>
          <t>Z6</t>
        </is>
      </c>
      <c r="B16" s="7" t="inlineStr">
        <is>
          <t>Z6</t>
        </is>
      </c>
      <c r="C16" s="10" t="n">
        <v>3.732</v>
      </c>
      <c r="D16" s="10" t="n">
        <v>3.761</v>
      </c>
      <c r="E16" s="10" t="n">
        <v>14.037</v>
      </c>
      <c r="F16" s="10">
        <f>IF(Parámetros!$B$10="","",Parámetros!$B$10)</f>
        <v/>
      </c>
      <c r="G16" s="10">
        <f>IF(F16="","",E16*F16)</f>
        <v/>
      </c>
      <c r="H16" s="10" t="n">
        <v>-21.07</v>
      </c>
      <c r="I16" s="10" t="n">
        <v>-8.56</v>
      </c>
      <c r="J16" s="8" t="inlineStr">
        <is>
          <t>Cuadrilátero no rectangular (lados 3.70–3.77)</t>
        </is>
      </c>
    </row>
    <row r="17">
      <c r="A17" s="7" t="inlineStr">
        <is>
          <t>Z7</t>
        </is>
      </c>
      <c r="B17" s="7" t="inlineStr">
        <is>
          <t>Z7</t>
        </is>
      </c>
      <c r="C17" s="10" t="n">
        <v>3.3</v>
      </c>
      <c r="D17" s="10" t="n">
        <v>5.731</v>
      </c>
      <c r="E17" s="10" t="n">
        <v>18.913</v>
      </c>
      <c r="F17" s="10">
        <f>IF(Parámetros!$B$11="","",Parámetros!$B$11)</f>
        <v/>
      </c>
      <c r="G17" s="10">
        <f>IF(F17="","",E17*F17)</f>
        <v/>
      </c>
      <c r="H17" s="10" t="n">
        <v>-20.76</v>
      </c>
      <c r="I17" s="10" t="n">
        <v>-1.46</v>
      </c>
      <c r="J17" s="8" t="inlineStr">
        <is>
          <t>Cota en plano 5.75</t>
        </is>
      </c>
    </row>
    <row r="18">
      <c r="A18" s="7" t="inlineStr">
        <is>
          <t>Z8</t>
        </is>
      </c>
      <c r="B18" s="7" t="inlineStr">
        <is>
          <t>Z8</t>
        </is>
      </c>
      <c r="C18" s="10" t="n">
        <v>6.548</v>
      </c>
      <c r="D18" s="10" t="n">
        <v>7.093</v>
      </c>
      <c r="E18" s="10" t="n">
        <v>46.445</v>
      </c>
      <c r="F18" s="10">
        <f>IF(Parámetros!$B$12="","",Parámetros!$B$12)</f>
        <v/>
      </c>
      <c r="G18" s="10">
        <f>IF(F18="","",E18*F18)</f>
        <v/>
      </c>
      <c r="H18" s="10" t="n">
        <v>-1.38</v>
      </c>
      <c r="I18" s="10" t="n">
        <v>-0.22</v>
      </c>
      <c r="J18" s="8" t="inlineStr">
        <is>
          <t>Cota en plano 6.35 vs 6.55 medido; contiene CC1 → RFI</t>
        </is>
      </c>
    </row>
    <row r="19">
      <c r="A19" s="12" t="inlineStr">
        <is>
          <t>TOTAL</t>
        </is>
      </c>
      <c r="B19" s="12" t="inlineStr"/>
      <c r="C19" s="12" t="n"/>
      <c r="D19" s="12" t="n"/>
      <c r="E19" s="13">
        <f>SUM(E5:E18)</f>
        <v/>
      </c>
      <c r="F19" s="12" t="inlineStr"/>
      <c r="G19" s="13">
        <f>IF(COUNT(G5:G18)&lt;COUNTA(A5:A18),"pendiente",SUM(G5:G18))</f>
        <v/>
      </c>
      <c r="H19" s="12" t="n"/>
      <c r="I19" s="12" t="n"/>
      <c r="J19" s="12" t="inlineStr">
        <is>
          <t>14 zapatas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0" customWidth="1" min="3" max="3"/>
    <col width="8" customWidth="1" min="4" max="4"/>
    <col width="11" customWidth="1" min="5" max="5"/>
    <col width="40" customWidth="1" min="6" max="6"/>
    <col width="46" customWidth="1" min="7" max="7"/>
  </cols>
  <sheetData>
    <row r="1">
      <c r="A1" s="1" t="inlineStr">
        <is>
          <t>CIMIENTOS CORRIDOS – EXTRACCIÓN</t>
        </is>
      </c>
    </row>
    <row r="2">
      <c r="A2" s="2" t="inlineStr">
        <is>
          <t>Proyecto: Sótano – Plano S-1 Cimentación y detalles (DXF) | Fecha: 2026-10-12 | Unidades: m, m², m³</t>
        </is>
      </c>
    </row>
    <row r="4">
      <c r="A4" s="3" t="inlineStr">
        <is>
          <t>Grupo</t>
        </is>
      </c>
      <c r="B4" s="3" t="inlineStr">
        <is>
          <t>Elemento</t>
        </is>
      </c>
      <c r="C4" s="3" t="inlineStr">
        <is>
          <t>Concepto</t>
        </is>
      </c>
      <c r="D4" s="3" t="inlineStr">
        <is>
          <t>Unidad</t>
        </is>
      </c>
      <c r="E4" s="3" t="inlineStr">
        <is>
          <t>Cantidad</t>
        </is>
      </c>
      <c r="F4" s="3" t="inlineStr">
        <is>
          <t>Método</t>
        </is>
      </c>
      <c r="G4" s="3" t="inlineStr">
        <is>
          <t>Observaciones</t>
        </is>
      </c>
    </row>
    <row r="5">
      <c r="A5" s="7" t="inlineStr">
        <is>
          <t>Muro de contención</t>
        </is>
      </c>
      <c r="B5" s="7" t="inlineStr">
        <is>
          <t>Cimiento MC1 1.00</t>
        </is>
      </c>
      <c r="C5" s="8" t="inlineStr">
        <is>
          <t>Huella bruta (incluye tramos bajo zapatas)</t>
        </is>
      </c>
      <c r="D5" s="7" t="inlineStr">
        <is>
          <t>m²</t>
        </is>
      </c>
      <c r="E5" s="10" t="n">
        <v>112.721</v>
      </c>
      <c r="F5" s="8" t="inlineStr">
        <is>
          <t>Unión de franjas por pares de bordes + juntas</t>
        </is>
      </c>
      <c r="G5" s="8" t="inlineStr">
        <is>
          <t>Verificación: semisuma de bordes = 111.86 ml (Δ 0.8 %)</t>
        </is>
      </c>
    </row>
    <row r="6">
      <c r="A6" s="7" t="inlineStr">
        <is>
          <t>Muro de contención</t>
        </is>
      </c>
      <c r="B6" s="7" t="inlineStr">
        <is>
          <t>Cimiento MC1 1.00</t>
        </is>
      </c>
      <c r="C6" s="8" t="inlineStr">
        <is>
          <t>(−) Tramos bajo zapatas</t>
        </is>
      </c>
      <c r="D6" s="7" t="inlineStr">
        <is>
          <t>m²</t>
        </is>
      </c>
      <c r="E6" s="10" t="n">
        <v>-31.794</v>
      </c>
      <c r="F6" s="8" t="inlineStr">
        <is>
          <t>Intersección huella MC1 ∩ zapatas</t>
        </is>
      </c>
      <c r="G6" s="8" t="inlineStr">
        <is>
          <t>Se asigna a la zapata (cimiento termina en cara de zapata)</t>
        </is>
      </c>
    </row>
    <row r="7">
      <c r="A7" s="12" t="inlineStr">
        <is>
          <t>Muro de contención</t>
        </is>
      </c>
      <c r="B7" s="12" t="inlineStr">
        <is>
          <t>Cimiento MC1 1.00</t>
        </is>
      </c>
      <c r="C7" s="4" t="inlineStr">
        <is>
          <t>Huella neta</t>
        </is>
      </c>
      <c r="D7" s="12" t="inlineStr">
        <is>
          <t>m²</t>
        </is>
      </c>
      <c r="E7" s="13" t="n">
        <v>80.92700000000001</v>
      </c>
      <c r="F7" s="4" t="inlineStr">
        <is>
          <t>Bruta − bajo zapatas</t>
        </is>
      </c>
      <c r="G7" s="4" t="inlineStr">
        <is>
          <t>Cantidad de control para concreto y concreto pobre</t>
        </is>
      </c>
    </row>
    <row r="8">
      <c r="A8" s="7" t="inlineStr">
        <is>
          <t>Muro de contención</t>
        </is>
      </c>
      <c r="B8" s="7" t="inlineStr">
        <is>
          <t>Cimiento MC1 1.00</t>
        </is>
      </c>
      <c r="C8" s="8" t="inlineStr">
        <is>
          <t>Longitud equivalente neta</t>
        </is>
      </c>
      <c r="D8" s="7" t="inlineStr">
        <is>
          <t>ml</t>
        </is>
      </c>
      <c r="E8" s="10" t="n">
        <v>80.92700000000001</v>
      </c>
      <c r="F8" s="8" t="inlineStr">
        <is>
          <t>Huella neta / 1.00</t>
        </is>
      </c>
      <c r="G8" s="8" t="inlineStr">
        <is>
          <t>Ejes trazados en DXF: 75.51 ml (no incluyen juntas de esquina)</t>
        </is>
      </c>
    </row>
    <row r="9">
      <c r="A9" s="7" t="inlineStr">
        <is>
          <t>Muro de contención</t>
        </is>
      </c>
      <c r="B9" s="7" t="inlineStr">
        <is>
          <t>Cimiento MC1 1.00</t>
        </is>
      </c>
      <c r="C9" s="8" t="inlineStr">
        <is>
          <t>Longitud equivalente bruta (muro continuo)</t>
        </is>
      </c>
      <c r="D9" s="7" t="inlineStr">
        <is>
          <t>ml</t>
        </is>
      </c>
      <c r="E9" s="10" t="n">
        <v>112.721</v>
      </c>
      <c r="F9" s="8" t="inlineStr">
        <is>
          <t>Huella bruta / 1.00</t>
        </is>
      </c>
      <c r="G9" s="8" t="inlineStr">
        <is>
          <t>Base para muro, drenaje e impermeabilización</t>
        </is>
      </c>
    </row>
    <row r="10">
      <c r="A10" s="7" t="inlineStr">
        <is>
          <t>Edificación</t>
        </is>
      </c>
      <c r="B10" s="7" t="inlineStr">
        <is>
          <t>Cimiento corrido CC1 0.70</t>
        </is>
      </c>
      <c r="C10" s="8" t="inlineStr">
        <is>
          <t>Huella bruta</t>
        </is>
      </c>
      <c r="D10" s="7" t="inlineStr">
        <is>
          <t>m²</t>
        </is>
      </c>
      <c r="E10" s="10" t="n">
        <v>38.326</v>
      </c>
      <c r="F10" s="8" t="inlineStr">
        <is>
          <t>Unión de franjas − MC1</t>
        </is>
      </c>
      <c r="G10" s="8" t="inlineStr"/>
    </row>
    <row r="11">
      <c r="A11" s="7" t="inlineStr">
        <is>
          <t>Edificación</t>
        </is>
      </c>
      <c r="B11" s="7" t="inlineStr">
        <is>
          <t>Cimiento corrido CC1 0.70</t>
        </is>
      </c>
      <c r="C11" s="8" t="inlineStr">
        <is>
          <t>(−) Tramos bajo zapatas</t>
        </is>
      </c>
      <c r="D11" s="7" t="inlineStr">
        <is>
          <t>m²</t>
        </is>
      </c>
      <c r="E11" s="10" t="n">
        <v>-16.402</v>
      </c>
      <c r="F11" s="8" t="inlineStr">
        <is>
          <t>Intersección CC1 ∩ zapatas</t>
        </is>
      </c>
      <c r="G11" s="8" t="inlineStr">
        <is>
          <t>Incluye 9.51 m² dentro de Z8 (= 13.59 ml) → RFI</t>
        </is>
      </c>
    </row>
    <row r="12">
      <c r="A12" s="12" t="inlineStr">
        <is>
          <t>Edificación</t>
        </is>
      </c>
      <c r="B12" s="12" t="inlineStr">
        <is>
          <t>Cimiento corrido CC1 0.70</t>
        </is>
      </c>
      <c r="C12" s="4" t="inlineStr">
        <is>
          <t>Huella neta</t>
        </is>
      </c>
      <c r="D12" s="12" t="inlineStr">
        <is>
          <t>m²</t>
        </is>
      </c>
      <c r="E12" s="13" t="n">
        <v>21.925</v>
      </c>
      <c r="F12" s="4" t="inlineStr">
        <is>
          <t>Bruta − bajo zapatas</t>
        </is>
      </c>
      <c r="G12" s="4" t="inlineStr">
        <is>
          <t>Cantidad de control para concreto</t>
        </is>
      </c>
    </row>
    <row r="13">
      <c r="A13" s="7" t="inlineStr">
        <is>
          <t>Edificación</t>
        </is>
      </c>
      <c r="B13" s="7" t="inlineStr">
        <is>
          <t>Cimiento corrido CC1 0.70</t>
        </is>
      </c>
      <c r="C13" s="8" t="inlineStr">
        <is>
          <t>Longitud equivalente neta</t>
        </is>
      </c>
      <c r="D13" s="7" t="inlineStr">
        <is>
          <t>ml</t>
        </is>
      </c>
      <c r="E13" s="10" t="n">
        <v>31.321</v>
      </c>
      <c r="F13" s="8" t="inlineStr">
        <is>
          <t>Huella neta / 0.70</t>
        </is>
      </c>
      <c r="G13" s="8" t="inlineStr">
        <is>
          <t>Ejes en DXF: 27.73 ml; diferencia = franjas de CC1 que sobresalen de Z2, Z3 y Z8</t>
        </is>
      </c>
    </row>
    <row r="15">
      <c r="A15" s="14" t="inlineStr">
        <is>
          <t>Juntas y esquinas cerradas con polígono (coordenadas en DXF)</t>
        </is>
      </c>
    </row>
    <row r="16">
      <c r="A16" s="7" t="inlineStr">
        <is>
          <t>Muro de contención</t>
        </is>
      </c>
      <c r="B16" s="7" t="inlineStr">
        <is>
          <t>MC1</t>
        </is>
      </c>
      <c r="C16" s="8" t="inlineStr">
        <is>
          <t>MC1 junta N (-11.4,8.0)</t>
        </is>
      </c>
      <c r="D16" s="7" t="inlineStr">
        <is>
          <t>m²</t>
        </is>
      </c>
      <c r="E16" s="15" t="n">
        <v>1.116</v>
      </c>
      <c r="F16" s="8" t="inlineStr">
        <is>
          <t>Esquina ext. + esquina int. + proyecciones</t>
        </is>
      </c>
      <c r="G16" s="8" t="inlineStr">
        <is>
          <t>Incluido en la huella (unión, sin doble conteo)</t>
        </is>
      </c>
    </row>
    <row r="17">
      <c r="A17" s="7" t="inlineStr">
        <is>
          <t>Muro de contención</t>
        </is>
      </c>
      <c r="B17" s="7" t="inlineStr">
        <is>
          <t>MC1</t>
        </is>
      </c>
      <c r="C17" s="8" t="inlineStr">
        <is>
          <t>MC1 esquina NO (-19.2,8.0)</t>
        </is>
      </c>
      <c r="D17" s="7" t="inlineStr">
        <is>
          <t>m²</t>
        </is>
      </c>
      <c r="E17" s="15" t="n">
        <v>0.544</v>
      </c>
      <c r="F17" s="8" t="inlineStr">
        <is>
          <t>Esquina ext. + esquina int. + proyecciones</t>
        </is>
      </c>
      <c r="G17" s="8" t="inlineStr">
        <is>
          <t>Incluido en la huella (unión, sin doble conteo)</t>
        </is>
      </c>
    </row>
    <row r="18">
      <c r="A18" s="7" t="inlineStr">
        <is>
          <t>Muro de contención</t>
        </is>
      </c>
      <c r="B18" s="7" t="inlineStr">
        <is>
          <t>MC1</t>
        </is>
      </c>
      <c r="C18" s="8" t="inlineStr">
        <is>
          <t>MC1 esquina O (-30.0,-8.3)</t>
        </is>
      </c>
      <c r="D18" s="7" t="inlineStr">
        <is>
          <t>m²</t>
        </is>
      </c>
      <c r="E18" s="15" t="n">
        <v>1.419</v>
      </c>
      <c r="F18" s="8" t="inlineStr">
        <is>
          <t>Esquina ext. + esquina int. + proyecciones</t>
        </is>
      </c>
      <c r="G18" s="8" t="inlineStr">
        <is>
          <t>Incluido en la huella (unión, sin doble conteo)</t>
        </is>
      </c>
    </row>
    <row r="19">
      <c r="A19" s="7" t="inlineStr">
        <is>
          <t>Muro de contención</t>
        </is>
      </c>
      <c r="B19" s="7" t="inlineStr">
        <is>
          <t>MC1</t>
        </is>
      </c>
      <c r="C19" s="8" t="inlineStr">
        <is>
          <t>MC1 remate O junto a Z1 (-28.0,-7.2)</t>
        </is>
      </c>
      <c r="D19" s="7" t="inlineStr">
        <is>
          <t>m²</t>
        </is>
      </c>
      <c r="E19" s="15" t="n">
        <v>0.204</v>
      </c>
      <c r="F19" s="8" t="inlineStr">
        <is>
          <t>Esquina ext. + esquina int. + proyecciones</t>
        </is>
      </c>
      <c r="G19" s="8" t="inlineStr">
        <is>
          <t>Incluido en la huella (unión, sin doble conteo)</t>
        </is>
      </c>
    </row>
    <row r="20">
      <c r="A20" s="7" t="inlineStr">
        <is>
          <t>Muro de contención</t>
        </is>
      </c>
      <c r="B20" s="7" t="inlineStr">
        <is>
          <t>MC1</t>
        </is>
      </c>
      <c r="C20" s="8" t="inlineStr">
        <is>
          <t>MC1 esquina S (-18.0,-17.3)</t>
        </is>
      </c>
      <c r="D20" s="7" t="inlineStr">
        <is>
          <t>m²</t>
        </is>
      </c>
      <c r="E20" s="15" t="n">
        <v>1</v>
      </c>
      <c r="F20" s="8" t="inlineStr">
        <is>
          <t>Esquina ext. + esquina int. + proyecciones</t>
        </is>
      </c>
      <c r="G20" s="8" t="inlineStr">
        <is>
          <t>Incluido en la huella (unión, sin doble conteo)</t>
        </is>
      </c>
    </row>
    <row r="21">
      <c r="A21" s="7" t="inlineStr">
        <is>
          <t>Muro de contención</t>
        </is>
      </c>
      <c r="B21" s="7" t="inlineStr">
        <is>
          <t>MC1</t>
        </is>
      </c>
      <c r="C21" s="8" t="inlineStr">
        <is>
          <t>MC1 junta SE de Z8 (1.9,-3.8)</t>
        </is>
      </c>
      <c r="D21" s="7" t="inlineStr">
        <is>
          <t>m²</t>
        </is>
      </c>
      <c r="E21" s="15" t="n">
        <v>0.195</v>
      </c>
      <c r="F21" s="8" t="inlineStr">
        <is>
          <t>Esquina ext. + esquina int. + proyecciones</t>
        </is>
      </c>
      <c r="G21" s="8" t="inlineStr">
        <is>
          <t>Incluido en la huella (unión, sin doble conteo)</t>
        </is>
      </c>
    </row>
    <row r="22">
      <c r="A22" s="7" t="inlineStr">
        <is>
          <t>Muro de contención</t>
        </is>
      </c>
      <c r="B22" s="7" t="inlineStr">
        <is>
          <t>MC1</t>
        </is>
      </c>
      <c r="C22" s="8" t="inlineStr">
        <is>
          <t>MC1 junta NE de Z2 (2.1,6.8)</t>
        </is>
      </c>
      <c r="D22" s="7" t="inlineStr">
        <is>
          <t>m²</t>
        </is>
      </c>
      <c r="E22" s="15" t="n">
        <v>0.492</v>
      </c>
      <c r="F22" s="8" t="inlineStr">
        <is>
          <t>Esquina ext. + esquina int. + proyecciones</t>
        </is>
      </c>
      <c r="G22" s="8" t="inlineStr">
        <is>
          <t>Incluido en la huella (unión, sin doble conteo)</t>
        </is>
      </c>
    </row>
    <row r="23">
      <c r="A23" s="7" t="inlineStr">
        <is>
          <t>Edificación</t>
        </is>
      </c>
      <c r="B23" s="7" t="inlineStr">
        <is>
          <t>CC1</t>
        </is>
      </c>
      <c r="C23" s="8" t="inlineStr">
        <is>
          <t>CC1 esquina E (3.7,0.8)</t>
        </is>
      </c>
      <c r="D23" s="7" t="inlineStr">
        <is>
          <t>m²</t>
        </is>
      </c>
      <c r="E23" s="15" t="n">
        <v>0.328</v>
      </c>
      <c r="F23" s="8" t="inlineStr">
        <is>
          <t>Esquina ext. + esquina int. + proyecciones</t>
        </is>
      </c>
      <c r="G23" s="8" t="inlineStr">
        <is>
          <t>Incluido en la huella (unión, sin doble conteo)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60" customWidth="1" min="4" max="4"/>
  </cols>
  <sheetData>
    <row r="1">
      <c r="A1" s="1" t="inlineStr">
        <is>
          <t>SOLERA SA 0.30 – EXTRACCIÓN</t>
        </is>
      </c>
    </row>
    <row r="2">
      <c r="A2" s="2" t="inlineStr">
        <is>
          <t>Proyecto: Sótano – Plano S-1 Cimentación y detalles (DXF) | Fecha: 2026-10-12 | Unidades: m, m², m³</t>
        </is>
      </c>
    </row>
    <row r="4">
      <c r="A4" s="3" t="inlineStr">
        <is>
          <t>Tramo</t>
        </is>
      </c>
      <c r="B4" s="3" t="inlineStr">
        <is>
          <t>Longitud según trazo</t>
        </is>
      </c>
      <c r="C4" s="3" t="inlineStr">
        <is>
          <t>Unidad</t>
        </is>
      </c>
      <c r="D4" s="3" t="inlineStr">
        <is>
          <t>Observaciones</t>
        </is>
      </c>
    </row>
    <row r="5">
      <c r="A5" s="7" t="inlineStr">
        <is>
          <t>SA-01</t>
        </is>
      </c>
      <c r="B5" s="10" t="n">
        <v>7.688</v>
      </c>
      <c r="C5" s="7" t="inlineStr">
        <is>
          <t>ml</t>
        </is>
      </c>
      <c r="D5" s="8" t="inlineStr">
        <is>
          <t>De (-12.79, -6.82) a (-19.15, -2.50)</t>
        </is>
      </c>
    </row>
    <row r="6">
      <c r="A6" s="7" t="inlineStr">
        <is>
          <t>SA-02</t>
        </is>
      </c>
      <c r="B6" s="10" t="n">
        <v>5.77</v>
      </c>
      <c r="C6" s="7" t="inlineStr">
        <is>
          <t>ml</t>
        </is>
      </c>
      <c r="D6" s="8" t="inlineStr">
        <is>
          <t>De (-20.81, -8.21) a (-19.53, -2.59)</t>
        </is>
      </c>
    </row>
    <row r="7">
      <c r="A7" s="7" t="inlineStr">
        <is>
          <t>SA-03</t>
        </is>
      </c>
      <c r="B7" s="10" t="n">
        <v>5.896</v>
      </c>
      <c r="C7" s="7" t="inlineStr">
        <is>
          <t>ml</t>
        </is>
      </c>
      <c r="D7" s="8" t="inlineStr">
        <is>
          <t>De (-15.84, -11.88) a (-20.75, -8.61)</t>
        </is>
      </c>
    </row>
    <row r="8">
      <c r="A8" s="7" t="inlineStr">
        <is>
          <t>SA-04</t>
        </is>
      </c>
      <c r="B8" s="10" t="n">
        <v>4.617</v>
      </c>
      <c r="C8" s="7" t="inlineStr">
        <is>
          <t>ml</t>
        </is>
      </c>
      <c r="D8" s="8" t="inlineStr">
        <is>
          <t>De (-16.71, -13.00) a (-20.56, -10.45)</t>
        </is>
      </c>
    </row>
    <row r="9">
      <c r="A9" s="7" t="inlineStr">
        <is>
          <t>SA-05</t>
        </is>
      </c>
      <c r="B9" s="10" t="n">
        <v>0.437</v>
      </c>
      <c r="C9" s="7" t="inlineStr">
        <is>
          <t>ml</t>
        </is>
      </c>
      <c r="D9" s="8" t="inlineStr">
        <is>
          <t>De (-26.78, -8.30) a (-26.54, -7.94)</t>
        </is>
      </c>
    </row>
    <row r="10">
      <c r="A10" s="7" t="inlineStr">
        <is>
          <t>SA-06</t>
        </is>
      </c>
      <c r="B10" s="10" t="n">
        <v>1.048</v>
      </c>
      <c r="C10" s="7" t="inlineStr">
        <is>
          <t>ml</t>
        </is>
      </c>
      <c r="D10" s="8" t="inlineStr">
        <is>
          <t>De (-26.30, -7.58) a (-25.71, -6.71)</t>
        </is>
      </c>
    </row>
    <row r="11">
      <c r="A11" s="7" t="inlineStr">
        <is>
          <t>SA-07</t>
        </is>
      </c>
      <c r="B11" s="10" t="n">
        <v>5.452</v>
      </c>
      <c r="C11" s="7" t="inlineStr">
        <is>
          <t>ml</t>
        </is>
      </c>
      <c r="D11" s="8" t="inlineStr">
        <is>
          <t>De (-24.93, -5.54) a (-21.91, -1.00)</t>
        </is>
      </c>
    </row>
    <row r="12">
      <c r="A12" s="7" t="inlineStr">
        <is>
          <t>SA-08</t>
        </is>
      </c>
      <c r="B12" s="10" t="n">
        <v>8.1</v>
      </c>
      <c r="C12" s="7" t="inlineStr">
        <is>
          <t>ml</t>
        </is>
      </c>
      <c r="D12" s="8" t="inlineStr">
        <is>
          <t>De (-21.63, -0.58) a (-17.15, 6.16)</t>
        </is>
      </c>
    </row>
    <row r="13">
      <c r="A13" s="7" t="inlineStr">
        <is>
          <t>SA-09</t>
        </is>
      </c>
      <c r="B13" s="10" t="n">
        <v>8.262</v>
      </c>
      <c r="C13" s="7" t="inlineStr">
        <is>
          <t>ml</t>
        </is>
      </c>
      <c r="D13" s="8" t="inlineStr">
        <is>
          <t>De (-19.23, -2.14) a (-11.69, 1.24)</t>
        </is>
      </c>
    </row>
    <row r="14">
      <c r="A14" s="7" t="inlineStr">
        <is>
          <t>SA-10</t>
        </is>
      </c>
      <c r="B14" s="10" t="n">
        <v>3.814</v>
      </c>
      <c r="C14" s="7" t="inlineStr">
        <is>
          <t>ml</t>
        </is>
      </c>
      <c r="D14" s="8" t="inlineStr">
        <is>
          <t>De (-11.21, 1.03) a (-9.80, -2.51)</t>
        </is>
      </c>
    </row>
    <row r="15">
      <c r="A15" s="7" t="inlineStr">
        <is>
          <t>SA-11</t>
        </is>
      </c>
      <c r="B15" s="10" t="n">
        <v>6.978</v>
      </c>
      <c r="C15" s="7" t="inlineStr">
        <is>
          <t>ml</t>
        </is>
      </c>
      <c r="D15" s="8" t="inlineStr">
        <is>
          <t>De (-16.79, 6.22) a (-11.65, 1.49)</t>
        </is>
      </c>
    </row>
    <row r="16">
      <c r="A16" s="7" t="inlineStr">
        <is>
          <t>SA-12</t>
        </is>
      </c>
      <c r="B16" s="10" t="n">
        <v>0.637</v>
      </c>
      <c r="C16" s="7" t="inlineStr">
        <is>
          <t>ml</t>
        </is>
      </c>
      <c r="D16" s="8" t="inlineStr">
        <is>
          <t>De (-25.56, -6.48) a (-25.21, -5.96)</t>
        </is>
      </c>
    </row>
    <row r="17">
      <c r="A17" s="12" t="inlineStr">
        <is>
          <t>TOTAL</t>
        </is>
      </c>
      <c r="B17" s="13">
        <f>SUM(B5:B16)</f>
        <v/>
      </c>
      <c r="C17" s="12" t="inlineStr">
        <is>
          <t>ml</t>
        </is>
      </c>
      <c r="D17" s="4" t="inlineStr">
        <is>
          <t>Trazo entre extremos dibujados (cruza zapatas hasta columna)</t>
        </is>
      </c>
    </row>
    <row r="18">
      <c r="A18" s="12" t="inlineStr">
        <is>
          <t>Neto</t>
        </is>
      </c>
      <c r="B18" s="13" t="n">
        <v>26.344</v>
      </c>
      <c r="C18" s="12" t="inlineStr">
        <is>
          <t>ml</t>
        </is>
      </c>
      <c r="D18" s="4" t="inlineStr">
        <is>
          <t>Fuera de huella de zapatas (huella neta 7.903 m² / 0.30)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90" customWidth="1" min="3" max="3"/>
    <col width="40" customWidth="1" min="4" max="4"/>
  </cols>
  <sheetData>
    <row r="1">
      <c r="A1" s="1" t="inlineStr">
        <is>
          <t>PENDIENTES, RFI Y SUPUESTOS</t>
        </is>
      </c>
    </row>
    <row r="2">
      <c r="A2" s="2" t="inlineStr">
        <is>
          <t>Proyecto: Sótano – Plano S-1 Cimentación y detalles (DXF) | Fecha: 2026-10-12 | Unidades: m, m², m³</t>
        </is>
      </c>
    </row>
    <row r="4">
      <c r="A4" s="3" t="inlineStr">
        <is>
          <t>No.</t>
        </is>
      </c>
      <c r="B4" s="3" t="inlineStr">
        <is>
          <t>Tipo</t>
        </is>
      </c>
      <c r="C4" s="3" t="inlineStr">
        <is>
          <t>Descripción</t>
        </is>
      </c>
      <c r="D4" s="3" t="inlineStr">
        <is>
          <t>Impacto</t>
        </is>
      </c>
    </row>
    <row r="5" ht="30" customHeight="1">
      <c r="A5" s="7" t="n">
        <v>1</v>
      </c>
      <c r="B5" s="7" t="inlineStr">
        <is>
          <t>Dato faltante</t>
        </is>
      </c>
      <c r="C5" s="8" t="inlineStr">
        <is>
          <t>Los detalles vienen de xrefs NO incrustados en el DXF: Xref_Detalles_de_Cimetacion, Xref_detalle_de_pineado, Xref_Muros_Sotano, Xref_Ejes_Sotano. Sin ellos no hay peraltes, armados ni desplante.</t>
        </is>
      </c>
      <c r="D5" s="8" t="inlineStr">
        <is>
          <t>Concreto, acero, excavación y relleno quedan con fórmula lista pero pendientes</t>
        </is>
      </c>
    </row>
    <row r="6" ht="30" customHeight="1">
      <c r="A6" s="7" t="n">
        <v>2</v>
      </c>
      <c r="B6" s="7" t="inlineStr">
        <is>
          <t>RFI</t>
        </is>
      </c>
      <c r="C6" s="8" t="inlineStr">
        <is>
          <t>Z1 al NE (Z1-e) está dibujada de 2.50 × 2.50; las otras cuatro Z1 miden 2.20 × 2.20.</t>
        </is>
      </c>
      <c r="D6" s="8" t="inlineStr">
        <is>
          <t>Δ 1.41 m² de área</t>
        </is>
      </c>
    </row>
    <row r="7" ht="30" customHeight="1">
      <c r="A7" s="7" t="n">
        <v>3</v>
      </c>
      <c r="B7" s="7" t="inlineStr">
        <is>
          <t>RFI</t>
        </is>
      </c>
      <c r="C7" s="8" t="inlineStr">
        <is>
          <t>Z8 mide 6.55 × 7.09 m (cota en plano 6.35) y contiene cimientos CC1 (13.59 ml). Confirmar si Z8 es losa/zapata combinada y si los CC1 van sobre ella o se eliminan.</t>
        </is>
      </c>
      <c r="D7" s="8" t="inlineStr">
        <is>
          <t>CC1 ± 13.59 ml; volumen Z8</t>
        </is>
      </c>
    </row>
    <row r="8" ht="30" customHeight="1">
      <c r="A8" s="7" t="n">
        <v>4</v>
      </c>
      <c r="B8" s="7" t="inlineStr">
        <is>
          <t>RFI</t>
        </is>
      </c>
      <c r="C8" s="8" t="inlineStr">
        <is>
          <t>Solera SA: confirmar si se mide entre caras de zapata (26.34 ml) o de columna a columna según trazo (58.70 ml).</t>
        </is>
      </c>
      <c r="D8" s="8" t="inlineStr">
        <is>
          <t>Hasta 32 ml de diferencia</t>
        </is>
      </c>
    </row>
    <row r="9" ht="30" customHeight="1">
      <c r="A9" s="7" t="n">
        <v>5</v>
      </c>
      <c r="B9" s="7" t="inlineStr">
        <is>
          <t>Pendiente</t>
        </is>
      </c>
      <c r="C9" s="8" t="inlineStr">
        <is>
          <t>Dos remates de cimiento de 0.80 m de ancho que salen de Z1-d y Z1-e (NE) no se cuantificaron (≈ 0.8 m² c/u).</t>
        </is>
      </c>
      <c r="D9" s="8" t="inlineStr">
        <is>
          <t>Menor</t>
        </is>
      </c>
    </row>
    <row r="10" ht="30" customHeight="1">
      <c r="A10" s="7" t="n">
        <v>6</v>
      </c>
      <c r="B10" s="7" t="inlineStr">
        <is>
          <t>Supuesto</t>
        </is>
      </c>
      <c r="C10" s="8" t="inlineStr">
        <is>
          <t>Intersecciones: zapata &gt; MC1 &gt; CC1. Cada cimiento termina en la cara de la zapata o del cimiento que lo cruza.</t>
        </is>
      </c>
      <c r="D10" s="8" t="inlineStr">
        <is>
          <t>Sin dobles conteos</t>
        </is>
      </c>
    </row>
    <row r="11" ht="30" customHeight="1">
      <c r="A11" s="7" t="n">
        <v>7</v>
      </c>
      <c r="B11" s="7" t="inlineStr">
        <is>
          <t>Supuesto</t>
        </is>
      </c>
      <c r="C11" s="8" t="inlineStr">
        <is>
          <t>Concreto pobre t = 0.04 (nota 1) solo bajo la huella neta del cimiento MC1.</t>
        </is>
      </c>
      <c r="D11" s="8" t="inlineStr">
        <is>
          <t>Si va bajo zapatas: +31.79 m²</t>
        </is>
      </c>
    </row>
    <row r="12" ht="30" customHeight="1">
      <c r="A12" s="7" t="n">
        <v>8</v>
      </c>
      <c r="B12" s="7" t="inlineStr">
        <is>
          <t>Supuesto</t>
        </is>
      </c>
      <c r="C12" s="8" t="inlineStr">
        <is>
          <t>Muro MC1, drenaje francés e impermeabilización a todo lo largo del MC1 (112.72 ml).</t>
        </is>
      </c>
      <c r="D12" s="8" t="inlineStr"/>
    </row>
    <row r="13" ht="30" customHeight="1">
      <c r="A13" s="7" t="n">
        <v>9</v>
      </c>
      <c r="B13" s="7" t="inlineStr">
        <is>
          <t>Limitación</t>
        </is>
      </c>
      <c r="C13" s="8" t="inlineStr">
        <is>
          <t>Bordes de MC1 dibujados a 1.005–1.016 m en vez de 1.00 (imprecisión de dibujo); se usó el ancho dibujado.</t>
        </is>
      </c>
      <c r="D13" s="8" t="inlineStr">
        <is>
          <t>&lt; 1 %</t>
        </is>
      </c>
    </row>
    <row r="14" ht="30" customHeight="1">
      <c r="A14" s="7" t="n">
        <v>10</v>
      </c>
      <c r="B14" s="7" t="inlineStr">
        <is>
          <t>Limitación</t>
        </is>
      </c>
      <c r="C14" s="8" t="inlineStr">
        <is>
          <t>Archivo entregado en DXF. Abrir en AutoCAD y guardar como DWG con el mismo nombre; crear allí los filtros de grupo (Cuantificación &gt; Cimentación / Muro de contención) y ejecutar PURGE + AUDIT.</t>
        </is>
      </c>
      <c r="D14" s="8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2026-10-12T21:54:43Z</dcterms:created>
  <dcterms:modified xmlns:dcterms="http://purl.org/dc/terms/" xmlns:xsi="http://www.w3.org/2001/XMLSchema-instance" xsi:type="dcterms:W3CDTF">2026-10-12T21:54:43Z</dcterms:modified>
</cp:coreProperties>
</file>