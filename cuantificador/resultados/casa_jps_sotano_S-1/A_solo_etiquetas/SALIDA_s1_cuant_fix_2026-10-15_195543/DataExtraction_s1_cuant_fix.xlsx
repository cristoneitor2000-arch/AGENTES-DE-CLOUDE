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UMEN" sheetId="2" state="visible" r:id="rId2"/>
    <sheet name="REVISION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4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9" customWidth="1" min="9" max="9"/>
    <col width="10" customWidth="1" min="10" max="10"/>
    <col width="9" customWidth="1" min="11" max="11"/>
    <col width="12" customWidth="1" min="12" max="12"/>
    <col width="9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50" customWidth="1" min="19" max="19"/>
  </cols>
  <sheetData>
    <row r="1">
      <c r="A1" s="1" t="inlineStr">
        <is>
          <t>ID</t>
        </is>
      </c>
      <c r="B1" s="1" t="inlineStr">
        <is>
          <t>Elemento</t>
        </is>
      </c>
      <c r="C1" s="1" t="inlineStr">
        <is>
          <t>Capa</t>
        </is>
      </c>
      <c r="D1" s="1" t="inlineStr">
        <is>
          <t>Espesor de muro (m)</t>
        </is>
      </c>
      <c r="E1" s="1" t="inlineStr">
        <is>
          <t>Tipo de cimiento</t>
        </is>
      </c>
      <c r="F1" s="1" t="inlineStr">
        <is>
          <t>Ancho de cimiento (m)</t>
        </is>
      </c>
      <c r="G1" s="1" t="inlineStr">
        <is>
          <t>Peralte de cimiento (m)</t>
        </is>
      </c>
      <c r="H1" s="1" t="inlineStr">
        <is>
          <t>Longitud</t>
        </is>
      </c>
      <c r="I1" s="1" t="inlineStr">
        <is>
          <t>Unidad longitud</t>
        </is>
      </c>
      <c r="J1" s="1" t="inlineStr">
        <is>
          <t>Altura</t>
        </is>
      </c>
      <c r="K1" s="1" t="inlineStr">
        <is>
          <t>Unidad altura</t>
        </is>
      </c>
      <c r="L1" s="1" t="inlineStr">
        <is>
          <t>Área</t>
        </is>
      </c>
      <c r="M1" s="1" t="inlineStr">
        <is>
          <t>Unidad área</t>
        </is>
      </c>
      <c r="N1" s="1" t="inlineStr">
        <is>
          <t>Handle</t>
        </is>
      </c>
      <c r="O1" s="1" t="inlineStr">
        <is>
          <t>X inicio (m)</t>
        </is>
      </c>
      <c r="P1" s="1" t="inlineStr">
        <is>
          <t>Y inicio (m)</t>
        </is>
      </c>
      <c r="Q1" s="1" t="inlineStr">
        <is>
          <t>X fin (m)</t>
        </is>
      </c>
      <c r="R1" s="1" t="inlineStr">
        <is>
          <t>Y fin (m)</t>
        </is>
      </c>
      <c r="S1" s="1" t="inlineStr">
        <is>
          <t>Observaciones</t>
        </is>
      </c>
    </row>
    <row r="2">
      <c r="A2" s="2" t="inlineStr">
        <is>
          <t>C-001</t>
        </is>
      </c>
      <c r="B2" s="2" t="inlineStr">
        <is>
          <t>Cimiento corrido</t>
        </is>
      </c>
      <c r="C2" s="2" t="inlineStr">
        <is>
          <t>Cimiento corrido CC1 de 0.70 x 0.25 m (dentro de zapata)</t>
        </is>
      </c>
      <c r="D2" s="3" t="n">
        <v>0.2</v>
      </c>
      <c r="E2" s="2" t="inlineStr">
        <is>
          <t>CC1</t>
        </is>
      </c>
      <c r="F2" s="3" t="n">
        <v>0.7</v>
      </c>
      <c r="G2" s="3" t="n">
        <v>0.25</v>
      </c>
      <c r="H2" s="4" t="n">
        <v>2.281370243425507</v>
      </c>
      <c r="I2" s="2" t="inlineStr">
        <is>
          <t>m</t>
        </is>
      </c>
      <c r="J2" s="2" t="n"/>
      <c r="K2" s="2" t="n"/>
      <c r="L2" s="2" t="n"/>
      <c r="M2" s="2" t="n"/>
      <c r="N2" s="2" t="inlineStr">
        <is>
          <t>862DC</t>
        </is>
      </c>
      <c r="O2" s="4" t="n">
        <v>-21.49423163754451</v>
      </c>
      <c r="P2" s="4" t="n">
        <v>-0.8256720620691613</v>
      </c>
      <c r="Q2" s="4" t="n">
        <v>-19.59433750544087</v>
      </c>
      <c r="R2" s="4" t="n">
        <v>-2.088625930737978</v>
      </c>
      <c r="S2" s="2" t="inlineStr">
        <is>
          <t>dentro de zapata</t>
        </is>
      </c>
    </row>
    <row r="3">
      <c r="A3" s="2" t="inlineStr">
        <is>
          <t>C-002</t>
        </is>
      </c>
      <c r="B3" s="2" t="inlineStr">
        <is>
          <t>Cimiento corrido</t>
        </is>
      </c>
      <c r="C3" s="2" t="inlineStr">
        <is>
          <t>Cimiento corrido CC1 de 0.70 x 0.25 m</t>
        </is>
      </c>
      <c r="D3" s="3" t="n">
        <v>0.15</v>
      </c>
      <c r="E3" s="2" t="inlineStr">
        <is>
          <t>CC1</t>
        </is>
      </c>
      <c r="F3" s="3" t="n">
        <v>0.7</v>
      </c>
      <c r="G3" s="3" t="n">
        <v>0.25</v>
      </c>
      <c r="H3" s="4" t="n">
        <v>3.392800159863672</v>
      </c>
      <c r="I3" s="2" t="inlineStr">
        <is>
          <t>m</t>
        </is>
      </c>
      <c r="J3" s="2" t="n"/>
      <c r="K3" s="2" t="n"/>
      <c r="L3" s="2" t="n"/>
      <c r="M3" s="2" t="n"/>
      <c r="N3" s="2" t="inlineStr">
        <is>
          <t>862DD</t>
        </is>
      </c>
      <c r="O3" s="4" t="n">
        <v>-8.053800029910544</v>
      </c>
      <c r="P3" s="4" t="n">
        <v>-0.5887428845250606</v>
      </c>
      <c r="Q3" s="4" t="n">
        <v>-4.660999870046872</v>
      </c>
      <c r="R3" s="4" t="n">
        <v>-0.5887428845250616</v>
      </c>
      <c r="S3" s="2" t="inlineStr"/>
    </row>
    <row r="4">
      <c r="A4" s="2" t="inlineStr">
        <is>
          <t>C-003</t>
        </is>
      </c>
      <c r="B4" s="2" t="inlineStr">
        <is>
          <t>Cimiento corrido</t>
        </is>
      </c>
      <c r="C4" s="2" t="inlineStr">
        <is>
          <t>Cimiento corrido CC1 de 0.70 x 0.25 m (dentro de zapata)</t>
        </is>
      </c>
      <c r="D4" s="3" t="n">
        <v>0.15</v>
      </c>
      <c r="E4" s="2" t="inlineStr">
        <is>
          <t>CC1</t>
        </is>
      </c>
      <c r="F4" s="3" t="n">
        <v>0.7</v>
      </c>
      <c r="G4" s="3" t="n">
        <v>0.25</v>
      </c>
      <c r="H4" s="4" t="n">
        <v>2.509380220294382</v>
      </c>
      <c r="I4" s="2" t="inlineStr">
        <is>
          <t>m</t>
        </is>
      </c>
      <c r="J4" s="2" t="n"/>
      <c r="K4" s="2" t="n"/>
      <c r="L4" s="2" t="n"/>
      <c r="M4" s="2" t="n"/>
      <c r="N4" s="2" t="inlineStr">
        <is>
          <t>862DE</t>
        </is>
      </c>
      <c r="O4" s="4" t="n">
        <v>-10.56318025020493</v>
      </c>
      <c r="P4" s="4" t="n">
        <v>-0.5887428845250599</v>
      </c>
      <c r="Q4" s="4" t="n">
        <v>-8.053800029910544</v>
      </c>
      <c r="R4" s="4" t="n">
        <v>-0.5887428845250606</v>
      </c>
      <c r="S4" s="2" t="inlineStr">
        <is>
          <t>dentro de zapata</t>
        </is>
      </c>
    </row>
    <row r="5">
      <c r="A5" s="2" t="inlineStr">
        <is>
          <t>C-004</t>
        </is>
      </c>
      <c r="B5" s="2" t="inlineStr">
        <is>
          <t>Cimiento corrido</t>
        </is>
      </c>
      <c r="C5" s="2" t="inlineStr">
        <is>
          <t>Cimiento corrido CC1 de 0.70 x 0.25 m (dentro de zapata)</t>
        </is>
      </c>
      <c r="D5" s="3" t="n">
        <v>0.15</v>
      </c>
      <c r="E5" s="2" t="inlineStr">
        <is>
          <t>CC1</t>
        </is>
      </c>
      <c r="F5" s="3" t="n">
        <v>0.7</v>
      </c>
      <c r="G5" s="3" t="n">
        <v>0.25</v>
      </c>
      <c r="H5" s="4" t="n">
        <v>4.499028350768034</v>
      </c>
      <c r="I5" s="2" t="inlineStr">
        <is>
          <t>m</t>
        </is>
      </c>
      <c r="J5" s="2" t="n"/>
      <c r="K5" s="2" t="n"/>
      <c r="L5" s="2" t="n"/>
      <c r="M5" s="2" t="n"/>
      <c r="N5" s="2" t="inlineStr">
        <is>
          <t>862DF</t>
        </is>
      </c>
      <c r="O5" s="4" t="n">
        <v>-4.660999870046872</v>
      </c>
      <c r="P5" s="4" t="n">
        <v>-0.5887428845250616</v>
      </c>
      <c r="Q5" s="4" t="n">
        <v>-2.686794762090967</v>
      </c>
      <c r="R5" s="4" t="n">
        <v>-3.11356612733719</v>
      </c>
      <c r="S5" s="2" t="inlineStr">
        <is>
          <t>polilínea unida en esquina (3 vértices); dentro de zapata</t>
        </is>
      </c>
    </row>
    <row r="6">
      <c r="A6" s="2" t="inlineStr">
        <is>
          <t>C-005</t>
        </is>
      </c>
      <c r="B6" s="2" t="inlineStr">
        <is>
          <t>Cimiento corrido</t>
        </is>
      </c>
      <c r="C6" s="2" t="inlineStr">
        <is>
          <t>Cimiento corrido CC1 de 0.70 x 0.25 m</t>
        </is>
      </c>
      <c r="D6" s="3" t="n">
        <v>0.15</v>
      </c>
      <c r="E6" s="2" t="inlineStr">
        <is>
          <t>CC1</t>
        </is>
      </c>
      <c r="F6" s="3" t="n">
        <v>0.7</v>
      </c>
      <c r="G6" s="3" t="n">
        <v>0.25</v>
      </c>
      <c r="H6" s="4" t="n">
        <v>4.924999464103117</v>
      </c>
      <c r="I6" s="2" t="inlineStr">
        <is>
          <t>m</t>
        </is>
      </c>
      <c r="J6" s="2" t="n"/>
      <c r="K6" s="2" t="n"/>
      <c r="L6" s="2" t="n"/>
      <c r="M6" s="2" t="n"/>
      <c r="N6" s="2" t="inlineStr">
        <is>
          <t>862E0</t>
        </is>
      </c>
      <c r="O6" s="4" t="n">
        <v>-9.585999939374597</v>
      </c>
      <c r="P6" s="4" t="n">
        <v>1.158389845221136</v>
      </c>
      <c r="Q6" s="4" t="n">
        <v>-4.66100047527148</v>
      </c>
      <c r="R6" s="4" t="n">
        <v>1.158389845221135</v>
      </c>
      <c r="S6" s="2" t="inlineStr"/>
    </row>
    <row r="7">
      <c r="A7" s="2" t="inlineStr">
        <is>
          <t>C-006</t>
        </is>
      </c>
      <c r="B7" s="2" t="inlineStr">
        <is>
          <t>Cimiento corrido</t>
        </is>
      </c>
      <c r="C7" s="2" t="inlineStr">
        <is>
          <t>Cimiento corrido CC1 de 0.70 x 0.25 m (dentro de zapata)</t>
        </is>
      </c>
      <c r="D7" s="3" t="n">
        <v>0.15</v>
      </c>
      <c r="E7" s="2" t="inlineStr">
        <is>
          <t>CC1</t>
        </is>
      </c>
      <c r="F7" s="3" t="n">
        <v>0.7</v>
      </c>
      <c r="G7" s="3" t="n">
        <v>0.25</v>
      </c>
      <c r="H7" s="4" t="n">
        <v>1.425015119993803</v>
      </c>
      <c r="I7" s="2" t="inlineStr">
        <is>
          <t>m</t>
        </is>
      </c>
      <c r="J7" s="2" t="n"/>
      <c r="K7" s="2" t="n"/>
      <c r="L7" s="2" t="n"/>
      <c r="M7" s="2" t="n"/>
      <c r="N7" s="2" t="inlineStr">
        <is>
          <t>862E1</t>
        </is>
      </c>
      <c r="O7" s="4" t="n">
        <v>-11.0110150593684</v>
      </c>
      <c r="P7" s="4" t="n">
        <v>1.158389845221137</v>
      </c>
      <c r="Q7" s="4" t="n">
        <v>-9.585999939374597</v>
      </c>
      <c r="R7" s="4" t="n">
        <v>1.158389845221136</v>
      </c>
      <c r="S7" s="2" t="inlineStr">
        <is>
          <t>dentro de zapata</t>
        </is>
      </c>
    </row>
    <row r="8">
      <c r="A8" s="2" t="inlineStr">
        <is>
          <t>C-007</t>
        </is>
      </c>
      <c r="B8" s="2" t="inlineStr">
        <is>
          <t>Cimiento corrido</t>
        </is>
      </c>
      <c r="C8" s="2" t="inlineStr">
        <is>
          <t>Cimiento corrido CC1 de 0.70 x 0.25 m (dentro de zapata)</t>
        </is>
      </c>
      <c r="D8" s="3" t="n">
        <v>0.15</v>
      </c>
      <c r="E8" s="2" t="inlineStr">
        <is>
          <t>CC1</t>
        </is>
      </c>
      <c r="F8" s="3" t="n">
        <v>0.7</v>
      </c>
      <c r="G8" s="3" t="n">
        <v>0.25</v>
      </c>
      <c r="H8" s="4" t="n">
        <v>6.149985322465261</v>
      </c>
      <c r="I8" s="2" t="inlineStr">
        <is>
          <t>m</t>
        </is>
      </c>
      <c r="J8" s="2" t="n"/>
      <c r="K8" s="2" t="n"/>
      <c r="L8" s="2" t="n"/>
      <c r="M8" s="2" t="n"/>
      <c r="N8" s="2" t="inlineStr">
        <is>
          <t>862E2</t>
        </is>
      </c>
      <c r="O8" s="4" t="n">
        <v>-4.66100047527148</v>
      </c>
      <c r="P8" s="4" t="n">
        <v>1.158389845221135</v>
      </c>
      <c r="Q8" s="4" t="n">
        <v>1.48898484719378</v>
      </c>
      <c r="R8" s="4" t="n">
        <v>1.158389845221133</v>
      </c>
      <c r="S8" s="2" t="inlineStr">
        <is>
          <t>dentro de zapata</t>
        </is>
      </c>
    </row>
    <row r="9">
      <c r="A9" s="2" t="inlineStr">
        <is>
          <t>C-008</t>
        </is>
      </c>
      <c r="B9" s="2" t="inlineStr">
        <is>
          <t>Cimiento corrido</t>
        </is>
      </c>
      <c r="C9" s="2" t="inlineStr">
        <is>
          <t>Cimiento corrido MC1 de 1.00 x 0.30 m</t>
        </is>
      </c>
      <c r="D9" s="3" t="n">
        <v>0.15</v>
      </c>
      <c r="E9" s="2" t="inlineStr">
        <is>
          <t>MC1</t>
        </is>
      </c>
      <c r="F9" s="3" t="n">
        <v>1</v>
      </c>
      <c r="G9" s="3" t="n">
        <v>0.3</v>
      </c>
      <c r="H9" s="4" t="n">
        <v>3.137967648056534</v>
      </c>
      <c r="I9" s="2" t="inlineStr">
        <is>
          <t>m</t>
        </is>
      </c>
      <c r="J9" s="2" t="n"/>
      <c r="K9" s="2" t="n"/>
      <c r="L9" s="2" t="n"/>
      <c r="M9" s="2" t="n"/>
      <c r="N9" s="2" t="inlineStr">
        <is>
          <t>862E3</t>
        </is>
      </c>
      <c r="O9" s="4" t="n">
        <v>-11.24999890501401</v>
      </c>
      <c r="P9" s="4" t="n">
        <v>7.810158549908036</v>
      </c>
      <c r="Q9" s="4" t="n">
        <v>-8.112031256957474</v>
      </c>
      <c r="R9" s="4" t="n">
        <v>7.810158549908035</v>
      </c>
      <c r="S9" s="2" t="inlineStr"/>
    </row>
    <row r="10">
      <c r="A10" s="2" t="inlineStr">
        <is>
          <t>C-009</t>
        </is>
      </c>
      <c r="B10" s="2" t="inlineStr">
        <is>
          <t>Cimiento corrido</t>
        </is>
      </c>
      <c r="C10" s="2" t="inlineStr">
        <is>
          <t>Cimiento corrido CC1 de 0.70 x 0.25 m</t>
        </is>
      </c>
      <c r="D10" s="3" t="n">
        <v>0.15</v>
      </c>
      <c r="E10" s="2" t="inlineStr">
        <is>
          <t>CC1</t>
        </is>
      </c>
      <c r="F10" s="3" t="n">
        <v>0.7</v>
      </c>
      <c r="G10" s="3" t="n">
        <v>0.25</v>
      </c>
      <c r="H10" s="4" t="n">
        <v>1.377661850442657</v>
      </c>
      <c r="I10" s="2" t="inlineStr">
        <is>
          <t>m</t>
        </is>
      </c>
      <c r="J10" s="2" t="n"/>
      <c r="K10" s="2" t="n"/>
      <c r="L10" s="2" t="n"/>
      <c r="M10" s="2" t="n"/>
      <c r="N10" s="2" t="inlineStr">
        <is>
          <t>862E4</t>
        </is>
      </c>
      <c r="O10" s="4" t="n">
        <v>-4.149693090761091</v>
      </c>
      <c r="P10" s="4" t="n">
        <v>7.811268438120408</v>
      </c>
      <c r="Q10" s="4" t="n">
        <v>-2.772031240318434</v>
      </c>
      <c r="R10" s="4" t="n">
        <v>7.811268438120408</v>
      </c>
      <c r="S10" s="2" t="inlineStr"/>
    </row>
    <row r="11">
      <c r="A11" s="2" t="inlineStr">
        <is>
          <t>C-010</t>
        </is>
      </c>
      <c r="B11" s="2" t="inlineStr">
        <is>
          <t>Cimiento corrido</t>
        </is>
      </c>
      <c r="C11" s="2" t="inlineStr">
        <is>
          <t>Cimiento corrido CC1 de 0.70 x 0.25 m (dentro de zapata)</t>
        </is>
      </c>
      <c r="D11" s="3" t="n">
        <v>0.15</v>
      </c>
      <c r="E11" s="2" t="inlineStr">
        <is>
          <t>CC1</t>
        </is>
      </c>
      <c r="F11" s="3" t="n">
        <v>0.7</v>
      </c>
      <c r="G11" s="3" t="n">
        <v>0.25</v>
      </c>
      <c r="H11" s="4" t="n">
        <v>0.154031153014885</v>
      </c>
      <c r="I11" s="2" t="inlineStr">
        <is>
          <t>m</t>
        </is>
      </c>
      <c r="J11" s="2" t="n"/>
      <c r="K11" s="2" t="n"/>
      <c r="L11" s="2" t="n"/>
      <c r="M11" s="2" t="n"/>
      <c r="N11" s="2" t="inlineStr">
        <is>
          <t>862E5</t>
        </is>
      </c>
      <c r="O11" s="4" t="n">
        <v>-2.686794772857335</v>
      </c>
      <c r="P11" s="4" t="n">
        <v>-3.11356612733719</v>
      </c>
      <c r="Q11" s="4" t="n">
        <v>-2.686794772857335</v>
      </c>
      <c r="R11" s="4" t="n">
        <v>-2.959534974322305</v>
      </c>
      <c r="S11" s="2" t="inlineStr">
        <is>
          <t>dentro de zapata; tipo heredado de la etiqueta de su línea de muro</t>
        </is>
      </c>
    </row>
    <row r="12">
      <c r="A12" s="2" t="inlineStr">
        <is>
          <t>C-011</t>
        </is>
      </c>
      <c r="B12" s="2" t="inlineStr">
        <is>
          <t>Cimiento corrido</t>
        </is>
      </c>
      <c r="C12" s="2" t="inlineStr">
        <is>
          <t>Cimiento corrido CC1 de 0.70 x 0.25 m</t>
        </is>
      </c>
      <c r="D12" s="3" t="n">
        <v>0.15</v>
      </c>
      <c r="E12" s="2" t="inlineStr">
        <is>
          <t>CC1</t>
        </is>
      </c>
      <c r="F12" s="3" t="n">
        <v>0.7</v>
      </c>
      <c r="G12" s="3" t="n">
        <v>0.25</v>
      </c>
      <c r="H12" s="4" t="n">
        <v>0.2998232566710461</v>
      </c>
      <c r="I12" s="2" t="inlineStr">
        <is>
          <t>m</t>
        </is>
      </c>
      <c r="J12" s="2" t="n"/>
      <c r="K12" s="2" t="n"/>
      <c r="L12" s="2" t="n"/>
      <c r="M12" s="2" t="n"/>
      <c r="N12" s="2" t="inlineStr">
        <is>
          <t>862E6</t>
        </is>
      </c>
      <c r="O12" s="4" t="n">
        <v>-5.038180252492175</v>
      </c>
      <c r="P12" s="4" t="n">
        <v>-3.113566127337189</v>
      </c>
      <c r="Q12" s="4" t="n">
        <v>-5.038180252492175</v>
      </c>
      <c r="R12" s="4" t="n">
        <v>-2.813742870666143</v>
      </c>
      <c r="S12" s="2" t="inlineStr">
        <is>
          <t>tipo heredado de la etiqueta de su línea de muro</t>
        </is>
      </c>
    </row>
    <row r="13">
      <c r="A13" s="2" t="inlineStr">
        <is>
          <t>C-012</t>
        </is>
      </c>
      <c r="B13" s="2" t="inlineStr">
        <is>
          <t>Cimiento corrido</t>
        </is>
      </c>
      <c r="C13" s="2" t="inlineStr">
        <is>
          <t>Cimiento corrido CC1 de 0.70 x 0.25 m</t>
        </is>
      </c>
      <c r="D13" s="3" t="n">
        <v>0.15</v>
      </c>
      <c r="E13" s="2" t="inlineStr">
        <is>
          <t>CC1</t>
        </is>
      </c>
      <c r="F13" s="3" t="n">
        <v>0.7</v>
      </c>
      <c r="G13" s="3" t="n">
        <v>0.25</v>
      </c>
      <c r="H13" s="4" t="n">
        <v>2.174823242812128</v>
      </c>
      <c r="I13" s="2" t="inlineStr">
        <is>
          <t>m</t>
        </is>
      </c>
      <c r="J13" s="2" t="n"/>
      <c r="K13" s="2" t="n"/>
      <c r="L13" s="2" t="n"/>
      <c r="M13" s="2" t="n"/>
      <c r="N13" s="2" t="inlineStr">
        <is>
          <t>862E7</t>
        </is>
      </c>
      <c r="O13" s="4" t="n">
        <v>-5.038180252492174</v>
      </c>
      <c r="P13" s="4" t="n">
        <v>-3.113566127337189</v>
      </c>
      <c r="Q13" s="4" t="n">
        <v>-5.038180252492174</v>
      </c>
      <c r="R13" s="4" t="n">
        <v>-0.9387428845250615</v>
      </c>
      <c r="S13" s="2" t="inlineStr"/>
    </row>
    <row r="14">
      <c r="A14" s="2" t="inlineStr">
        <is>
          <t>C-013</t>
        </is>
      </c>
      <c r="B14" s="2" t="inlineStr">
        <is>
          <t>Cimiento corrido</t>
        </is>
      </c>
      <c r="C14" s="2" t="inlineStr">
        <is>
          <t>Cimiento corrido CC1 de 0.70 x 0.25 m</t>
        </is>
      </c>
      <c r="D14" s="3" t="n">
        <v>0.15</v>
      </c>
      <c r="E14" s="2" t="inlineStr">
        <is>
          <t>CC1</t>
        </is>
      </c>
      <c r="F14" s="3" t="n">
        <v>0.7</v>
      </c>
      <c r="G14" s="3" t="n">
        <v>0.25</v>
      </c>
      <c r="H14" s="4" t="n">
        <v>5.701760870949236</v>
      </c>
      <c r="I14" s="2" t="inlineStr">
        <is>
          <t>m</t>
        </is>
      </c>
      <c r="J14" s="2" t="n"/>
      <c r="K14" s="2" t="n"/>
      <c r="L14" s="2" t="n"/>
      <c r="M14" s="2" t="n"/>
      <c r="N14" s="2" t="inlineStr">
        <is>
          <t>862E8</t>
        </is>
      </c>
      <c r="O14" s="4" t="n">
        <v>-11.43601510558292</v>
      </c>
      <c r="P14" s="4" t="n">
        <v>2.983399930712824</v>
      </c>
      <c r="Q14" s="4" t="n">
        <v>-11.43601510558292</v>
      </c>
      <c r="R14" s="4" t="n">
        <v>8.685160801662061</v>
      </c>
      <c r="S14" s="2" t="inlineStr"/>
    </row>
    <row r="15">
      <c r="A15" s="2" t="inlineStr">
        <is>
          <t>C-014</t>
        </is>
      </c>
      <c r="B15" s="2" t="inlineStr">
        <is>
          <t>Cimiento corrido</t>
        </is>
      </c>
      <c r="C15" s="2" t="inlineStr">
        <is>
          <t>Cimiento corrido CC1 de 0.70 x 0.25 m (dentro de zapata)</t>
        </is>
      </c>
      <c r="D15" s="3" t="n">
        <v>0.15</v>
      </c>
      <c r="E15" s="2" t="inlineStr">
        <is>
          <t>CC1</t>
        </is>
      </c>
      <c r="F15" s="3" t="n">
        <v>0.7</v>
      </c>
      <c r="G15" s="3" t="n">
        <v>0.25</v>
      </c>
      <c r="H15" s="4" t="n">
        <v>1.400010086546531</v>
      </c>
      <c r="I15" s="2" t="inlineStr">
        <is>
          <t>m</t>
        </is>
      </c>
      <c r="J15" s="2" t="n"/>
      <c r="K15" s="2" t="n"/>
      <c r="L15" s="2" t="n"/>
      <c r="M15" s="2" t="n"/>
      <c r="N15" s="2" t="inlineStr">
        <is>
          <t>862E9</t>
        </is>
      </c>
      <c r="O15" s="4" t="n">
        <v>-11.43601510558292</v>
      </c>
      <c r="P15" s="4" t="n">
        <v>1.583389844166293</v>
      </c>
      <c r="Q15" s="4" t="n">
        <v>-11.43601510558292</v>
      </c>
      <c r="R15" s="4" t="n">
        <v>2.983399930712824</v>
      </c>
      <c r="S15" s="2" t="inlineStr">
        <is>
          <t>dentro de zapata</t>
        </is>
      </c>
    </row>
    <row r="16">
      <c r="A16" s="2" t="inlineStr">
        <is>
          <t>C-015</t>
        </is>
      </c>
      <c r="B16" s="2" t="inlineStr">
        <is>
          <t>Cimiento corrido</t>
        </is>
      </c>
      <c r="C16" s="2" t="inlineStr">
        <is>
          <t>Cimiento corrido CC1 de 0.70 x 0.25 m (dentro de zapata)</t>
        </is>
      </c>
      <c r="D16" s="3" t="n">
        <v>0.15</v>
      </c>
      <c r="E16" s="2" t="inlineStr">
        <is>
          <t>CC1</t>
        </is>
      </c>
      <c r="F16" s="3" t="n">
        <v>0.7</v>
      </c>
      <c r="G16" s="3" t="n">
        <v>0.25</v>
      </c>
      <c r="H16" s="4" t="n">
        <v>1.947345020834684</v>
      </c>
      <c r="I16" s="2" t="inlineStr">
        <is>
          <t>m</t>
        </is>
      </c>
      <c r="J16" s="2" t="n"/>
      <c r="K16" s="2" t="n"/>
      <c r="L16" s="2" t="n"/>
      <c r="M16" s="2" t="n"/>
      <c r="N16" s="2" t="inlineStr">
        <is>
          <t>862EA</t>
        </is>
      </c>
      <c r="O16" s="4" t="n">
        <v>-16.42601511062043</v>
      </c>
      <c r="P16" s="4" t="n">
        <v>5.93891218009781</v>
      </c>
      <c r="Q16" s="4" t="n">
        <v>-16.42601511062043</v>
      </c>
      <c r="R16" s="4" t="n">
        <v>7.886257200932493</v>
      </c>
      <c r="S16" s="2" t="inlineStr">
        <is>
          <t>dentro de zapata</t>
        </is>
      </c>
    </row>
    <row r="17">
      <c r="A17" s="2" t="inlineStr">
        <is>
          <t>C-016</t>
        </is>
      </c>
      <c r="B17" s="2" t="inlineStr">
        <is>
          <t>Cimiento corrido</t>
        </is>
      </c>
      <c r="C17" s="2" t="inlineStr">
        <is>
          <t>Cimiento corrido CC1 de 0.70 x 0.25 m</t>
        </is>
      </c>
      <c r="D17" s="3" t="n">
        <v>0.2</v>
      </c>
      <c r="E17" s="2" t="inlineStr">
        <is>
          <t>CC1</t>
        </is>
      </c>
      <c r="F17" s="3" t="n">
        <v>0.7</v>
      </c>
      <c r="G17" s="3" t="n">
        <v>0.25</v>
      </c>
      <c r="H17" s="4" t="n">
        <v>5.089999869081073</v>
      </c>
      <c r="I17" s="2" t="inlineStr">
        <is>
          <t>m</t>
        </is>
      </c>
      <c r="J17" s="2" t="n"/>
      <c r="K17" s="2" t="n"/>
      <c r="L17" s="2" t="n"/>
      <c r="M17" s="2" t="n"/>
      <c r="N17" s="2" t="inlineStr">
        <is>
          <t>862EB</t>
        </is>
      </c>
      <c r="O17" s="4" t="n">
        <v>1.988984847164796</v>
      </c>
      <c r="P17" s="4" t="n">
        <v>-3.563642896226039</v>
      </c>
      <c r="Q17" s="4" t="n">
        <v>1.988984847164797</v>
      </c>
      <c r="R17" s="4" t="n">
        <v>1.526356972855034</v>
      </c>
      <c r="S17" s="2" t="inlineStr"/>
    </row>
    <row r="18">
      <c r="A18" s="2" t="inlineStr">
        <is>
          <t>C-017</t>
        </is>
      </c>
      <c r="B18" s="2" t="inlineStr">
        <is>
          <t>Cimiento corrido</t>
        </is>
      </c>
      <c r="C18" s="2" t="inlineStr">
        <is>
          <t>Cimiento corrido CC1 de 0.70 x 0.25 m</t>
        </is>
      </c>
      <c r="D18" s="3" t="n">
        <v>0.2</v>
      </c>
      <c r="E18" s="2" t="inlineStr">
        <is>
          <t>CC1</t>
        </is>
      </c>
      <c r="F18" s="3" t="n">
        <v>0.7</v>
      </c>
      <c r="G18" s="3" t="n">
        <v>0.25</v>
      </c>
      <c r="H18" s="4" t="n">
        <v>4.078479310406459</v>
      </c>
      <c r="I18" s="2" t="inlineStr">
        <is>
          <t>m</t>
        </is>
      </c>
      <c r="J18" s="2" t="n"/>
      <c r="K18" s="2" t="n"/>
      <c r="L18" s="2" t="n"/>
      <c r="M18" s="2" t="n"/>
      <c r="N18" s="2" t="inlineStr">
        <is>
          <t>862EC</t>
        </is>
      </c>
      <c r="O18" s="4" t="n">
        <v>3.526048803894354</v>
      </c>
      <c r="P18" s="4" t="n">
        <v>1.308220307133823</v>
      </c>
      <c r="Q18" s="4" t="n">
        <v>5.095936649918421</v>
      </c>
      <c r="R18" s="4" t="n">
        <v>5.072452717110585</v>
      </c>
      <c r="S18" s="2" t="inlineStr"/>
    </row>
    <row r="19">
      <c r="A19" s="2" t="inlineStr">
        <is>
          <t>C-018</t>
        </is>
      </c>
      <c r="B19" s="2" t="inlineStr">
        <is>
          <t>Cimiento corrido</t>
        </is>
      </c>
      <c r="C19" s="2" t="inlineStr">
        <is>
          <t>Cimiento corrido CC1 de 0.70 x 0.25 m (dentro de zapata)</t>
        </is>
      </c>
      <c r="D19" s="3" t="n">
        <v>0.2</v>
      </c>
      <c r="E19" s="2" t="inlineStr">
        <is>
          <t>CC1</t>
        </is>
      </c>
      <c r="F19" s="3" t="n">
        <v>0.7</v>
      </c>
      <c r="G19" s="3" t="n">
        <v>0.25</v>
      </c>
      <c r="H19" s="4" t="n">
        <v>0.8379419701630624</v>
      </c>
      <c r="I19" s="2" t="inlineStr">
        <is>
          <t>m</t>
        </is>
      </c>
      <c r="J19" s="2" t="n"/>
      <c r="K19" s="2" t="n"/>
      <c r="L19" s="2" t="n"/>
      <c r="M19" s="2" t="n"/>
      <c r="N19" s="2" t="inlineStr">
        <is>
          <t>862ED</t>
        </is>
      </c>
      <c r="O19" s="4" t="n">
        <v>5.095936649918421</v>
      </c>
      <c r="P19" s="4" t="n">
        <v>5.072452717110585</v>
      </c>
      <c r="Q19" s="4" t="n">
        <v>5.41847718880897</v>
      </c>
      <c r="R19" s="4" t="n">
        <v>5.845831244180577</v>
      </c>
      <c r="S19" s="2" t="inlineStr">
        <is>
          <t>dentro de zapata</t>
        </is>
      </c>
    </row>
    <row r="20">
      <c r="A20" s="2" t="inlineStr">
        <is>
          <t>C-019</t>
        </is>
      </c>
      <c r="B20" s="2" t="inlineStr">
        <is>
          <t>Cimiento corrido</t>
        </is>
      </c>
      <c r="C20" s="2" t="inlineStr">
        <is>
          <t>Cimiento corrido CC1 de 0.70 x 0.25 m</t>
        </is>
      </c>
      <c r="D20" s="3" t="n">
        <v>0.2</v>
      </c>
      <c r="E20" s="2" t="inlineStr">
        <is>
          <t>CC1</t>
        </is>
      </c>
      <c r="F20" s="3" t="n">
        <v>0.7</v>
      </c>
      <c r="G20" s="3" t="n">
        <v>0.25</v>
      </c>
      <c r="H20" s="4" t="n">
        <v>0.8399420581517608</v>
      </c>
      <c r="I20" s="2" t="inlineStr">
        <is>
          <t>m</t>
        </is>
      </c>
      <c r="J20" s="2" t="n"/>
      <c r="K20" s="2" t="n"/>
      <c r="L20" s="2" t="n"/>
      <c r="M20" s="2" t="n"/>
      <c r="N20" s="2" t="inlineStr">
        <is>
          <t>862EE</t>
        </is>
      </c>
      <c r="O20" s="4" t="n">
        <v>5.942760427468576</v>
      </c>
      <c r="P20" s="4" t="n">
        <v>7.102942680257692</v>
      </c>
      <c r="Q20" s="4" t="n">
        <v>6.266070840026603</v>
      </c>
      <c r="R20" s="4" t="n">
        <v>7.878167188502739</v>
      </c>
      <c r="S20" s="2" t="inlineStr">
        <is>
          <t>tipo heredado de la etiqueta de su línea de muro</t>
        </is>
      </c>
    </row>
    <row r="21">
      <c r="A21" s="2" t="inlineStr">
        <is>
          <t>C-020</t>
        </is>
      </c>
      <c r="B21" s="2" t="inlineStr">
        <is>
          <t>Cimiento corrido</t>
        </is>
      </c>
      <c r="C21" s="2" t="inlineStr">
        <is>
          <t>Cimiento corrido CC1 de 0.70 x 0.25 m (dentro de zapata)</t>
        </is>
      </c>
      <c r="D21" s="3" t="n">
        <v>0.2</v>
      </c>
      <c r="E21" s="2" t="inlineStr">
        <is>
          <t>CC1</t>
        </is>
      </c>
      <c r="F21" s="3" t="n">
        <v>0.7</v>
      </c>
      <c r="G21" s="3" t="n">
        <v>0.25</v>
      </c>
      <c r="H21" s="4" t="n">
        <v>1.000057937561618</v>
      </c>
      <c r="I21" s="2" t="inlineStr">
        <is>
          <t>m</t>
        </is>
      </c>
      <c r="J21" s="2" t="n"/>
      <c r="K21" s="2" t="n"/>
      <c r="L21" s="2" t="n"/>
      <c r="M21" s="2" t="n"/>
      <c r="N21" s="2" t="inlineStr">
        <is>
          <t>862EF</t>
        </is>
      </c>
      <c r="O21" s="4" t="n">
        <v>5.557818226709584</v>
      </c>
      <c r="P21" s="4" t="n">
        <v>6.179939223842267</v>
      </c>
      <c r="Q21" s="4" t="n">
        <v>5.942760427468576</v>
      </c>
      <c r="R21" s="4" t="n">
        <v>7.102942680257692</v>
      </c>
      <c r="S21" s="2" t="inlineStr">
        <is>
          <t>dentro de zapata; tipo heredado de la etiqueta de su línea de muro</t>
        </is>
      </c>
    </row>
    <row r="22">
      <c r="A22" s="2" t="inlineStr">
        <is>
          <t>C-021</t>
        </is>
      </c>
      <c r="B22" s="2" t="inlineStr">
        <is>
          <t>Cimiento corrido</t>
        </is>
      </c>
      <c r="C22" s="2" t="inlineStr">
        <is>
          <t>Cimiento corrido MC1 de 1.00 x 0.30 m</t>
        </is>
      </c>
      <c r="D22" s="3" t="n">
        <v>0.3</v>
      </c>
      <c r="E22" s="2" t="inlineStr">
        <is>
          <t>MC1</t>
        </is>
      </c>
      <c r="F22" s="3" t="n">
        <v>1</v>
      </c>
      <c r="G22" s="3" t="n">
        <v>0.3</v>
      </c>
      <c r="H22" s="4" t="n">
        <v>3.392801148360469</v>
      </c>
      <c r="I22" s="2" t="inlineStr">
        <is>
          <t>m</t>
        </is>
      </c>
      <c r="J22" s="2" t="n"/>
      <c r="K22" s="2" t="n"/>
      <c r="L22" s="2" t="n"/>
      <c r="M22" s="2" t="n"/>
      <c r="N22" s="2" t="inlineStr">
        <is>
          <t>862F0</t>
        </is>
      </c>
      <c r="O22" s="4" t="n">
        <v>-8.053799970577698</v>
      </c>
      <c r="P22" s="4" t="n">
        <v>-3.613566127337188</v>
      </c>
      <c r="Q22" s="4" t="n">
        <v>-4.660998822217229</v>
      </c>
      <c r="R22" s="4" t="n">
        <v>-3.613566127337189</v>
      </c>
      <c r="S22" s="2" t="inlineStr"/>
    </row>
    <row r="23">
      <c r="A23" s="2" t="inlineStr">
        <is>
          <t>C-022</t>
        </is>
      </c>
      <c r="B23" s="2" t="inlineStr">
        <is>
          <t>Cimiento corrido</t>
        </is>
      </c>
      <c r="C23" s="2" t="inlineStr">
        <is>
          <t>Cimiento corrido MC1 de 1.00 x 0.30 m (dentro de zapata)</t>
        </is>
      </c>
      <c r="D23" s="3" t="n">
        <v>0.3</v>
      </c>
      <c r="E23" s="2" t="inlineStr">
        <is>
          <t>MC1</t>
        </is>
      </c>
      <c r="F23" s="3" t="n">
        <v>1</v>
      </c>
      <c r="G23" s="3" t="n">
        <v>0.3</v>
      </c>
      <c r="H23" s="4" t="n">
        <v>1.918941073641088</v>
      </c>
      <c r="I23" s="2" t="inlineStr">
        <is>
          <t>m</t>
        </is>
      </c>
      <c r="J23" s="2" t="n"/>
      <c r="K23" s="2" t="n"/>
      <c r="L23" s="2" t="n"/>
      <c r="M23" s="2" t="n"/>
      <c r="N23" s="2" t="inlineStr">
        <is>
          <t>862F1</t>
        </is>
      </c>
      <c r="O23" s="4" t="n">
        <v>-9.972741044218786</v>
      </c>
      <c r="P23" s="4" t="n">
        <v>-3.613566127337188</v>
      </c>
      <c r="Q23" s="4" t="n">
        <v>-8.053799970577698</v>
      </c>
      <c r="R23" s="4" t="n">
        <v>-3.613566127337188</v>
      </c>
      <c r="S23" s="2" t="inlineStr">
        <is>
          <t>dentro de zapata</t>
        </is>
      </c>
    </row>
    <row r="24">
      <c r="A24" s="2" t="inlineStr">
        <is>
          <t>C-023</t>
        </is>
      </c>
      <c r="B24" s="2" t="inlineStr">
        <is>
          <t>Cimiento corrido</t>
        </is>
      </c>
      <c r="C24" s="2" t="inlineStr">
        <is>
          <t>Cimiento corrido MC1 de 1.00 x 0.30 m (dentro de zapata)</t>
        </is>
      </c>
      <c r="D24" s="3" t="n">
        <v>0.3</v>
      </c>
      <c r="E24" s="2" t="inlineStr">
        <is>
          <t>MC1</t>
        </is>
      </c>
      <c r="F24" s="3" t="n">
        <v>1</v>
      </c>
      <c r="G24" s="3" t="n">
        <v>0.3</v>
      </c>
      <c r="H24" s="4" t="n">
        <v>6.149983669411002</v>
      </c>
      <c r="I24" s="2" t="inlineStr">
        <is>
          <t>m</t>
        </is>
      </c>
      <c r="J24" s="2" t="n"/>
      <c r="K24" s="2" t="n"/>
      <c r="L24" s="2" t="n"/>
      <c r="M24" s="2" t="n"/>
      <c r="N24" s="2" t="inlineStr">
        <is>
          <t>862F2</t>
        </is>
      </c>
      <c r="O24" s="4" t="n">
        <v>-4.660998822217229</v>
      </c>
      <c r="P24" s="4" t="n">
        <v>-3.613566127337189</v>
      </c>
      <c r="Q24" s="4" t="n">
        <v>1.488984847193773</v>
      </c>
      <c r="R24" s="4" t="n">
        <v>-3.613566127337191</v>
      </c>
      <c r="S24" s="2" t="inlineStr">
        <is>
          <t>dentro de zapata</t>
        </is>
      </c>
    </row>
    <row r="25">
      <c r="A25" s="2" t="inlineStr">
        <is>
          <t>C-024</t>
        </is>
      </c>
      <c r="B25" s="2" t="inlineStr">
        <is>
          <t>Cimiento corrido</t>
        </is>
      </c>
      <c r="C25" s="2" t="inlineStr">
        <is>
          <t>Cimiento corrido MC1 de 1.00 x 0.30 m</t>
        </is>
      </c>
      <c r="D25" s="3" t="n">
        <v>0.3</v>
      </c>
      <c r="E25" s="2" t="inlineStr">
        <is>
          <t>MC1</t>
        </is>
      </c>
      <c r="F25" s="3" t="n">
        <v>1</v>
      </c>
      <c r="G25" s="3" t="n">
        <v>0.3</v>
      </c>
      <c r="H25" s="4" t="n">
        <v>1.837253346764304</v>
      </c>
      <c r="I25" s="2" t="inlineStr">
        <is>
          <t>m</t>
        </is>
      </c>
      <c r="J25" s="2" t="n"/>
      <c r="K25" s="2" t="n"/>
      <c r="L25" s="2" t="n"/>
      <c r="M25" s="2" t="n"/>
      <c r="N25" s="2" t="inlineStr">
        <is>
          <t>862F3</t>
        </is>
      </c>
      <c r="O25" s="4" t="n">
        <v>-17.51450898325325</v>
      </c>
      <c r="P25" s="4" t="n">
        <v>-14.81080333023102</v>
      </c>
      <c r="Q25" s="4" t="n">
        <v>-17.95650410235685</v>
      </c>
      <c r="R25" s="4" t="n">
        <v>-16.59409808289679</v>
      </c>
      <c r="S25" s="2" t="inlineStr"/>
    </row>
    <row r="26">
      <c r="A26" s="2" t="inlineStr">
        <is>
          <t>C-025</t>
        </is>
      </c>
      <c r="B26" s="2" t="inlineStr">
        <is>
          <t>Cimiento corrido</t>
        </is>
      </c>
      <c r="C26" s="2" t="inlineStr">
        <is>
          <t>Cimiento corrido MC1 de 1.00 x 0.30 m</t>
        </is>
      </c>
      <c r="D26" s="3" t="n">
        <v>0.3</v>
      </c>
      <c r="E26" s="2" t="inlineStr">
        <is>
          <t>MC1</t>
        </is>
      </c>
      <c r="F26" s="3" t="n">
        <v>1</v>
      </c>
      <c r="G26" s="3" t="n">
        <v>0.3</v>
      </c>
      <c r="H26" s="4" t="n">
        <v>0.2659059250239948</v>
      </c>
      <c r="I26" s="2" t="inlineStr">
        <is>
          <t>m</t>
        </is>
      </c>
      <c r="J26" s="2" t="n"/>
      <c r="K26" s="2" t="n"/>
      <c r="L26" s="2" t="n"/>
      <c r="M26" s="2" t="n"/>
      <c r="N26" s="2" t="inlineStr">
        <is>
          <t>862F4</t>
        </is>
      </c>
      <c r="O26" s="4" t="n">
        <v>-13.06371824203135</v>
      </c>
      <c r="P26" s="4" t="n">
        <v>-7.963943046180969</v>
      </c>
      <c r="Q26" s="4" t="n">
        <v>-13.2108634977798</v>
      </c>
      <c r="R26" s="4" t="n">
        <v>-8.185424952154323</v>
      </c>
      <c r="S26" s="2" t="inlineStr"/>
    </row>
    <row r="27">
      <c r="A27" s="2" t="inlineStr">
        <is>
          <t>C-026</t>
        </is>
      </c>
      <c r="B27" s="2" t="inlineStr">
        <is>
          <t>Cimiento corrido</t>
        </is>
      </c>
      <c r="C27" s="2" t="inlineStr">
        <is>
          <t>Cimiento corrido MC1 de 1.00 x 0.30 m</t>
        </is>
      </c>
      <c r="D27" s="3" t="n">
        <v>0.3</v>
      </c>
      <c r="E27" s="2" t="inlineStr">
        <is>
          <t>MC1</t>
        </is>
      </c>
      <c r="F27" s="3" t="n">
        <v>1</v>
      </c>
      <c r="G27" s="3" t="n">
        <v>0.3</v>
      </c>
      <c r="H27" s="4" t="n">
        <v>2.189968218793171</v>
      </c>
      <c r="I27" s="2" t="inlineStr">
        <is>
          <t>m</t>
        </is>
      </c>
      <c r="J27" s="2" t="n"/>
      <c r="K27" s="2" t="n"/>
      <c r="L27" s="2" t="n"/>
      <c r="M27" s="2" t="n"/>
      <c r="N27" s="2" t="inlineStr">
        <is>
          <t>862F5</t>
        </is>
      </c>
      <c r="O27" s="4" t="n">
        <v>-10.63442673262909</v>
      </c>
      <c r="P27" s="4" t="n">
        <v>-4.307392171125236</v>
      </c>
      <c r="Q27" s="4" t="n">
        <v>-11.8462968088834</v>
      </c>
      <c r="R27" s="4" t="n">
        <v>-6.131489678826927</v>
      </c>
      <c r="S27" s="2" t="inlineStr"/>
    </row>
    <row r="28">
      <c r="A28" s="2" t="inlineStr">
        <is>
          <t>C-027</t>
        </is>
      </c>
      <c r="B28" s="2" t="inlineStr">
        <is>
          <t>Cimiento corrido</t>
        </is>
      </c>
      <c r="C28" s="2" t="inlineStr">
        <is>
          <t>Cimiento corrido MC1 de 1.00 x 0.30 m (dentro de zapata)</t>
        </is>
      </c>
      <c r="D28" s="3" t="n">
        <v>0.3</v>
      </c>
      <c r="E28" s="2" t="inlineStr">
        <is>
          <t>MC1</t>
        </is>
      </c>
      <c r="F28" s="3" t="n">
        <v>1</v>
      </c>
      <c r="G28" s="3" t="n">
        <v>0.3</v>
      </c>
      <c r="H28" s="4" t="n">
        <v>7.914183516622939</v>
      </c>
      <c r="I28" s="2" t="inlineStr">
        <is>
          <t>m</t>
        </is>
      </c>
      <c r="J28" s="2" t="n"/>
      <c r="K28" s="2" t="n"/>
      <c r="L28" s="2" t="n"/>
      <c r="M28" s="2" t="n"/>
      <c r="N28" s="2" t="inlineStr">
        <is>
          <t>862F6</t>
        </is>
      </c>
      <c r="O28" s="4" t="n">
        <v>-13.2108634977798</v>
      </c>
      <c r="P28" s="4" t="n">
        <v>-8.185424952154323</v>
      </c>
      <c r="Q28" s="4" t="n">
        <v>-17.51450898325325</v>
      </c>
      <c r="R28" s="4" t="n">
        <v>-14.81080333023102</v>
      </c>
      <c r="S28" s="2" t="inlineStr">
        <is>
          <t>polilínea unida en esquina (3 vértices); dentro de zapata</t>
        </is>
      </c>
    </row>
    <row r="29">
      <c r="A29" s="2" t="inlineStr">
        <is>
          <t>C-028</t>
        </is>
      </c>
      <c r="B29" s="2" t="inlineStr">
        <is>
          <t>Cimiento corrido</t>
        </is>
      </c>
      <c r="C29" s="2" t="inlineStr">
        <is>
          <t>Cimiento corrido MC1 de 1.00 x 0.30 m (dentro de zapata)</t>
        </is>
      </c>
      <c r="D29" s="3" t="n">
        <v>0.3</v>
      </c>
      <c r="E29" s="2" t="inlineStr">
        <is>
          <t>MC1</t>
        </is>
      </c>
      <c r="F29" s="3" t="n">
        <v>1</v>
      </c>
      <c r="G29" s="3" t="n">
        <v>0.3</v>
      </c>
      <c r="H29" s="4" t="n">
        <v>2.200000065776177</v>
      </c>
      <c r="I29" s="2" t="inlineStr">
        <is>
          <t>m</t>
        </is>
      </c>
      <c r="J29" s="2" t="n"/>
      <c r="K29" s="2" t="n"/>
      <c r="L29" s="2" t="n"/>
      <c r="M29" s="2" t="n"/>
      <c r="N29" s="2" t="inlineStr">
        <is>
          <t>862F7</t>
        </is>
      </c>
      <c r="O29" s="4" t="n">
        <v>-11.8462968088834</v>
      </c>
      <c r="P29" s="4" t="n">
        <v>-6.131489678826927</v>
      </c>
      <c r="Q29" s="4" t="n">
        <v>-13.06371824203135</v>
      </c>
      <c r="R29" s="4" t="n">
        <v>-7.963943046180969</v>
      </c>
      <c r="S29" s="2" t="inlineStr">
        <is>
          <t>dentro de zapata</t>
        </is>
      </c>
    </row>
    <row r="30">
      <c r="A30" s="2" t="inlineStr">
        <is>
          <t>C-029</t>
        </is>
      </c>
      <c r="B30" s="2" t="inlineStr">
        <is>
          <t>Cimiento corrido</t>
        </is>
      </c>
      <c r="C30" s="2" t="inlineStr">
        <is>
          <t>Cimiento corrido MC1 de 1.00 x 0.30 m</t>
        </is>
      </c>
      <c r="D30" s="3" t="n">
        <v>0.3</v>
      </c>
      <c r="E30" s="2" t="inlineStr">
        <is>
          <t>MC1</t>
        </is>
      </c>
      <c r="F30" s="3" t="n">
        <v>1</v>
      </c>
      <c r="G30" s="3" t="n">
        <v>0.3</v>
      </c>
      <c r="H30" s="4" t="n">
        <v>18.76114853511661</v>
      </c>
      <c r="I30" s="2" t="inlineStr">
        <is>
          <t>m</t>
        </is>
      </c>
      <c r="J30" s="2" t="n"/>
      <c r="K30" s="2" t="n"/>
      <c r="L30" s="2" t="n"/>
      <c r="M30" s="2" t="n"/>
      <c r="N30" s="2" t="inlineStr">
        <is>
          <t>862F8</t>
        </is>
      </c>
      <c r="O30" s="4" t="n">
        <v>-29.68103534642486</v>
      </c>
      <c r="P30" s="4" t="n">
        <v>-7.987683838264891</v>
      </c>
      <c r="Q30" s="4" t="n">
        <v>-19.29911550358837</v>
      </c>
      <c r="R30" s="4" t="n">
        <v>7.639101971159462</v>
      </c>
      <c r="S30" s="2" t="inlineStr"/>
    </row>
    <row r="31">
      <c r="A31" s="2" t="inlineStr">
        <is>
          <t>C-030</t>
        </is>
      </c>
      <c r="B31" s="2" t="inlineStr">
        <is>
          <t>Cimiento corrido</t>
        </is>
      </c>
      <c r="C31" s="2" t="inlineStr">
        <is>
          <t>Cimiento corrido MC1 de 1.00 x 0.30 m</t>
        </is>
      </c>
      <c r="D31" s="3" t="n">
        <v>0.3</v>
      </c>
      <c r="E31" s="2" t="inlineStr">
        <is>
          <t>MC1</t>
        </is>
      </c>
      <c r="F31" s="3" t="n">
        <v>1</v>
      </c>
      <c r="G31" s="3" t="n">
        <v>0.3</v>
      </c>
      <c r="H31" s="4" t="n">
        <v>8.24987244085912</v>
      </c>
      <c r="I31" s="2" t="inlineStr">
        <is>
          <t>m</t>
        </is>
      </c>
      <c r="J31" s="2" t="n"/>
      <c r="K31" s="2" t="n"/>
      <c r="L31" s="2" t="n"/>
      <c r="M31" s="2" t="n"/>
      <c r="N31" s="2" t="inlineStr">
        <is>
          <t>862F9</t>
        </is>
      </c>
      <c r="O31" s="4" t="n">
        <v>7.723386781849076</v>
      </c>
      <c r="P31" s="4" t="n">
        <v>-5.12446107322626</v>
      </c>
      <c r="Q31" s="4" t="n">
        <v>10.89892685216585</v>
      </c>
      <c r="R31" s="4" t="n">
        <v>2.489758555354159</v>
      </c>
      <c r="S31" s="2" t="inlineStr"/>
    </row>
    <row r="32">
      <c r="A32" s="2" t="inlineStr">
        <is>
          <t>C-031</t>
        </is>
      </c>
      <c r="B32" s="2" t="inlineStr">
        <is>
          <t>Cimiento corrido</t>
        </is>
      </c>
      <c r="C32" s="2" t="inlineStr">
        <is>
          <t>Cimiento corrido MC1 de 1.00 x 0.30 m</t>
        </is>
      </c>
      <c r="D32" s="3" t="n">
        <v>0.3</v>
      </c>
      <c r="E32" s="2" t="inlineStr">
        <is>
          <t>MC1</t>
        </is>
      </c>
      <c r="F32" s="3" t="n">
        <v>1</v>
      </c>
      <c r="G32" s="3" t="n">
        <v>0.3</v>
      </c>
      <c r="H32" s="4" t="n">
        <v>0.9899531843933617</v>
      </c>
      <c r="I32" s="2" t="inlineStr">
        <is>
          <t>m</t>
        </is>
      </c>
      <c r="J32" s="2" t="n"/>
      <c r="K32" s="2" t="n"/>
      <c r="L32" s="2" t="n"/>
      <c r="M32" s="2" t="n"/>
      <c r="N32" s="2" t="inlineStr">
        <is>
          <t>862FA</t>
        </is>
      </c>
      <c r="O32" s="4" t="n">
        <v>11.7457506313105</v>
      </c>
      <c r="P32" s="4" t="n">
        <v>4.520248518741276</v>
      </c>
      <c r="Q32" s="4" t="n">
        <v>12.12680331149611</v>
      </c>
      <c r="R32" s="4" t="n">
        <v>5.433925793392406</v>
      </c>
      <c r="S32" s="2" t="inlineStr"/>
    </row>
    <row r="33">
      <c r="A33" s="2" t="inlineStr">
        <is>
          <t>C-032</t>
        </is>
      </c>
      <c r="B33" s="2" t="inlineStr">
        <is>
          <t>Cimiento corrido</t>
        </is>
      </c>
      <c r="C33" s="2" t="inlineStr">
        <is>
          <t>Cimiento corrido MC1 de 1.00 x 0.30 m (dentro de zapata)</t>
        </is>
      </c>
      <c r="D33" s="3" t="n">
        <v>0.3</v>
      </c>
      <c r="E33" s="2" t="inlineStr">
        <is>
          <t>MC1</t>
        </is>
      </c>
      <c r="F33" s="3" t="n">
        <v>1</v>
      </c>
      <c r="G33" s="3" t="n">
        <v>0.3</v>
      </c>
      <c r="H33" s="4" t="n">
        <v>0.849980110553391</v>
      </c>
      <c r="I33" s="2" t="inlineStr">
        <is>
          <t>m</t>
        </is>
      </c>
      <c r="J33" s="2" t="n"/>
      <c r="K33" s="2" t="n"/>
      <c r="L33" s="2" t="n"/>
      <c r="M33" s="2" t="n"/>
      <c r="N33" s="2" t="inlineStr">
        <is>
          <t>862FB</t>
        </is>
      </c>
      <c r="O33" s="4" t="n">
        <v>7.396212523170054</v>
      </c>
      <c r="P33" s="4" t="n">
        <v>-5.908950201764181</v>
      </c>
      <c r="Q33" s="4" t="n">
        <v>7.723386781849076</v>
      </c>
      <c r="R33" s="4" t="n">
        <v>-5.12446107322626</v>
      </c>
      <c r="S33" s="2" t="inlineStr">
        <is>
          <t>dentro de zapata</t>
        </is>
      </c>
    </row>
    <row r="34">
      <c r="A34" s="2" t="inlineStr">
        <is>
          <t>C-033</t>
        </is>
      </c>
      <c r="B34" s="2" t="inlineStr">
        <is>
          <t>Cimiento corrido</t>
        </is>
      </c>
      <c r="C34" s="2" t="inlineStr">
        <is>
          <t>Cimiento corrido MC1 de 1.00 x 0.30 m (dentro de zapata)</t>
        </is>
      </c>
      <c r="D34" s="3" t="n">
        <v>0.3</v>
      </c>
      <c r="E34" s="2" t="inlineStr">
        <is>
          <t>MC1</t>
        </is>
      </c>
      <c r="F34" s="3" t="n">
        <v>1</v>
      </c>
      <c r="G34" s="3" t="n">
        <v>0.3</v>
      </c>
      <c r="H34" s="4" t="n">
        <v>2.200000000986509</v>
      </c>
      <c r="I34" s="2" t="inlineStr">
        <is>
          <t>m</t>
        </is>
      </c>
      <c r="J34" s="2" t="n"/>
      <c r="K34" s="2" t="n"/>
      <c r="L34" s="2" t="n"/>
      <c r="M34" s="2" t="n"/>
      <c r="N34" s="2" t="inlineStr">
        <is>
          <t>862FC</t>
        </is>
      </c>
      <c r="O34" s="4" t="n">
        <v>10.89892685216585</v>
      </c>
      <c r="P34" s="4" t="n">
        <v>2.489758555354159</v>
      </c>
      <c r="Q34" s="4" t="n">
        <v>11.7457506313105</v>
      </c>
      <c r="R34" s="4" t="n">
        <v>4.520248518741276</v>
      </c>
      <c r="S34" s="2" t="inlineStr">
        <is>
          <t>dentro de zapata</t>
        </is>
      </c>
    </row>
    <row r="35">
      <c r="A35" s="2" t="inlineStr">
        <is>
          <t>C-034</t>
        </is>
      </c>
      <c r="B35" s="2" t="inlineStr">
        <is>
          <t>Cimiento corrido</t>
        </is>
      </c>
      <c r="C35" s="2" t="inlineStr">
        <is>
          <t>Cimiento corrido MC1 de 1.00 x 0.30 m</t>
        </is>
      </c>
      <c r="D35" s="3" t="n">
        <v>0.3</v>
      </c>
      <c r="E35" s="2" t="inlineStr">
        <is>
          <t>MC1</t>
        </is>
      </c>
      <c r="F35" s="3" t="n">
        <v>1</v>
      </c>
      <c r="G35" s="3" t="n">
        <v>0.3</v>
      </c>
      <c r="H35" s="4" t="n">
        <v>1.850000000016015</v>
      </c>
      <c r="I35" s="2" t="inlineStr">
        <is>
          <t>m</t>
        </is>
      </c>
      <c r="J35" s="2" t="n"/>
      <c r="K35" s="2" t="n"/>
      <c r="L35" s="2" t="n"/>
      <c r="M35" s="2" t="n"/>
      <c r="N35" s="2" t="inlineStr">
        <is>
          <t>862FD</t>
        </is>
      </c>
      <c r="O35" s="4" t="n">
        <v>2.139118154415567</v>
      </c>
      <c r="P35" s="4" t="n">
        <v>-4.095677252003737</v>
      </c>
      <c r="Q35" s="4" t="n">
        <v>3.84657562234619</v>
      </c>
      <c r="R35" s="4" t="n">
        <v>-4.807779067243105</v>
      </c>
      <c r="S35" s="2" t="inlineStr"/>
    </row>
    <row r="36">
      <c r="A36" s="2" t="inlineStr">
        <is>
          <t>C-035</t>
        </is>
      </c>
      <c r="B36" s="2" t="inlineStr">
        <is>
          <t>Cimiento corrido</t>
        </is>
      </c>
      <c r="C36" s="2" t="inlineStr">
        <is>
          <t>Cimiento corrido MC1 de 1.00 x 0.30 m (dentro de zapata)</t>
        </is>
      </c>
      <c r="D36" s="3" t="n">
        <v>0.3</v>
      </c>
      <c r="E36" s="2" t="inlineStr">
        <is>
          <t>MC1</t>
        </is>
      </c>
      <c r="F36" s="3" t="n">
        <v>1</v>
      </c>
      <c r="G36" s="3" t="n">
        <v>0.3</v>
      </c>
      <c r="H36" s="4" t="n">
        <v>0.4500000004944564</v>
      </c>
      <c r="I36" s="2" t="inlineStr">
        <is>
          <t>m</t>
        </is>
      </c>
      <c r="J36" s="2" t="n"/>
      <c r="K36" s="2" t="n"/>
      <c r="L36" s="2" t="n"/>
      <c r="M36" s="2" t="n"/>
      <c r="N36" s="2" t="inlineStr">
        <is>
          <t>862FE</t>
        </is>
      </c>
      <c r="O36" s="4" t="n">
        <v>5.869260235837621</v>
      </c>
      <c r="P36" s="4" t="n">
        <v>5.887528765747183</v>
      </c>
      <c r="Q36" s="4" t="n">
        <v>6.284587728489725</v>
      </c>
      <c r="R36" s="4" t="n">
        <v>5.714314810500131</v>
      </c>
      <c r="S36" s="2" t="inlineStr">
        <is>
          <t>dentro de zapata</t>
        </is>
      </c>
    </row>
    <row r="37">
      <c r="A37" s="2" t="inlineStr">
        <is>
          <t>C-036</t>
        </is>
      </c>
      <c r="B37" s="2" t="inlineStr">
        <is>
          <t>Cimiento corrido</t>
        </is>
      </c>
      <c r="C37" s="2" t="inlineStr">
        <is>
          <t>Cimiento corrido MC1 de 1.00 x 0.30 m</t>
        </is>
      </c>
      <c r="D37" s="3" t="n">
        <v>0.3</v>
      </c>
      <c r="E37" s="2" t="inlineStr">
        <is>
          <t>MC1</t>
        </is>
      </c>
      <c r="F37" s="3" t="n">
        <v>1</v>
      </c>
      <c r="G37" s="3" t="n">
        <v>0.3</v>
      </c>
      <c r="H37" s="4" t="n">
        <v>15.01674778958698</v>
      </c>
      <c r="I37" s="2" t="inlineStr">
        <is>
          <t>m</t>
        </is>
      </c>
      <c r="J37" s="2" t="n"/>
      <c r="K37" s="2" t="n"/>
      <c r="L37" s="2" t="n"/>
      <c r="M37" s="2" t="n"/>
      <c r="N37" s="2" t="inlineStr">
        <is>
          <t>862FF</t>
        </is>
      </c>
      <c r="O37" s="4" t="n">
        <v>-33.13782458179752</v>
      </c>
      <c r="P37" s="4" t="n">
        <v>-13.34648833393948</v>
      </c>
      <c r="Q37" s="4" t="n">
        <v>-18.56210643701766</v>
      </c>
      <c r="R37" s="4" t="n">
        <v>-16.95912653060412</v>
      </c>
      <c r="S37" s="2" t="inlineStr"/>
    </row>
    <row r="38">
      <c r="A38" s="2" t="inlineStr">
        <is>
          <t>C-037</t>
        </is>
      </c>
      <c r="B38" s="2" t="inlineStr">
        <is>
          <t>Cimiento corrido</t>
        </is>
      </c>
      <c r="C38" s="2" t="inlineStr">
        <is>
          <t>Cimiento corrido MC1 de 1.00 x 0.30 m</t>
        </is>
      </c>
      <c r="D38" s="3" t="n">
        <v>0.3</v>
      </c>
      <c r="E38" s="2" t="inlineStr">
        <is>
          <t>MC1</t>
        </is>
      </c>
      <c r="F38" s="3" t="n">
        <v>1</v>
      </c>
      <c r="G38" s="3" t="n">
        <v>0.3</v>
      </c>
      <c r="H38" s="4" t="n">
        <v>1.380645882388615</v>
      </c>
      <c r="I38" s="2" t="inlineStr">
        <is>
          <t>m</t>
        </is>
      </c>
      <c r="J38" s="2" t="n"/>
      <c r="K38" s="2" t="n"/>
      <c r="L38" s="2" t="n"/>
      <c r="M38" s="2" t="n"/>
      <c r="N38" s="2" t="inlineStr">
        <is>
          <t>86300</t>
        </is>
      </c>
      <c r="O38" s="4" t="n">
        <v>-29.5928011036825</v>
      </c>
      <c r="P38" s="4" t="n">
        <v>-8.21589243324868</v>
      </c>
      <c r="Q38" s="4" t="n">
        <v>-28.25270366571382</v>
      </c>
      <c r="R38" s="4" t="n">
        <v>-8.548039854293037</v>
      </c>
      <c r="S38" s="2" t="inlineStr"/>
    </row>
    <row r="39">
      <c r="A39" s="2" t="inlineStr">
        <is>
          <t>C-038</t>
        </is>
      </c>
      <c r="B39" s="2" t="inlineStr">
        <is>
          <t>Cimiento corrido</t>
        </is>
      </c>
      <c r="C39" s="2" t="inlineStr">
        <is>
          <t>Cimiento corrido MC1 de 1.00 x 0.30 m</t>
        </is>
      </c>
      <c r="D39" s="3" t="n">
        <v>0.3</v>
      </c>
      <c r="E39" s="2" t="inlineStr">
        <is>
          <t>MC1</t>
        </is>
      </c>
      <c r="F39" s="3" t="n">
        <v>1</v>
      </c>
      <c r="G39" s="3" t="n">
        <v>0.3</v>
      </c>
      <c r="H39" s="4" t="n">
        <v>2.92304258352417</v>
      </c>
      <c r="I39" s="2" t="inlineStr">
        <is>
          <t>m</t>
        </is>
      </c>
      <c r="J39" s="2" t="n"/>
      <c r="K39" s="2" t="n"/>
      <c r="L39" s="2" t="n"/>
      <c r="M39" s="2" t="n"/>
      <c r="N39" s="2" t="inlineStr">
        <is>
          <t>86301</t>
        </is>
      </c>
      <c r="O39" s="4" t="n">
        <v>-26.11731587193594</v>
      </c>
      <c r="P39" s="4" t="n">
        <v>-9.077302524706038</v>
      </c>
      <c r="Q39" s="4" t="n">
        <v>-23.28012066698076</v>
      </c>
      <c r="R39" s="4" t="n">
        <v>-9.780510398719825</v>
      </c>
      <c r="S39" s="2" t="inlineStr"/>
    </row>
    <row r="40">
      <c r="A40" s="2" t="inlineStr">
        <is>
          <t>C-039</t>
        </is>
      </c>
      <c r="B40" s="2" t="inlineStr">
        <is>
          <t>Cimiento corrido</t>
        </is>
      </c>
      <c r="C40" s="2" t="inlineStr">
        <is>
          <t>Cimiento corrido MC1 de 1.00 x 0.30 m (dentro de zapata)</t>
        </is>
      </c>
      <c r="D40" s="3" t="n">
        <v>0.3</v>
      </c>
      <c r="E40" s="2" t="inlineStr">
        <is>
          <t>MC1</t>
        </is>
      </c>
      <c r="F40" s="3" t="n">
        <v>1</v>
      </c>
      <c r="G40" s="3" t="n">
        <v>0.3</v>
      </c>
      <c r="H40" s="4" t="n">
        <v>2.200000000933704</v>
      </c>
      <c r="I40" s="2" t="inlineStr">
        <is>
          <t>m</t>
        </is>
      </c>
      <c r="J40" s="2" t="n"/>
      <c r="K40" s="2" t="n"/>
      <c r="L40" s="2" t="n"/>
      <c r="M40" s="2" t="n"/>
      <c r="N40" s="2" t="inlineStr">
        <is>
          <t>86302</t>
        </is>
      </c>
      <c r="O40" s="4" t="n">
        <v>-28.25270366571382</v>
      </c>
      <c r="P40" s="4" t="n">
        <v>-8.548039854293037</v>
      </c>
      <c r="Q40" s="4" t="n">
        <v>-26.11731587193594</v>
      </c>
      <c r="R40" s="4" t="n">
        <v>-9.077302524706038</v>
      </c>
      <c r="S40" s="2" t="inlineStr">
        <is>
          <t>dentro de zapata</t>
        </is>
      </c>
    </row>
    <row r="41">
      <c r="A41" s="2" t="inlineStr">
        <is>
          <t>C-040</t>
        </is>
      </c>
      <c r="B41" s="2" t="inlineStr">
        <is>
          <t>Cimiento corrido</t>
        </is>
      </c>
      <c r="C41" s="2" t="inlineStr">
        <is>
          <t>Cimiento corrido MC1 de 1.00 x 0.30 m (dentro de zapata)</t>
        </is>
      </c>
      <c r="D41" s="3" t="n">
        <v>0.3</v>
      </c>
      <c r="E41" s="2" t="inlineStr">
        <is>
          <t>MC1</t>
        </is>
      </c>
      <c r="F41" s="3" t="n">
        <v>1</v>
      </c>
      <c r="G41" s="3" t="n">
        <v>0.3</v>
      </c>
      <c r="H41" s="4" t="n">
        <v>2.501227495306556</v>
      </c>
      <c r="I41" s="2" t="inlineStr">
        <is>
          <t>m</t>
        </is>
      </c>
      <c r="J41" s="2" t="n"/>
      <c r="K41" s="2" t="n"/>
      <c r="L41" s="2" t="n"/>
      <c r="M41" s="2" t="n"/>
      <c r="N41" s="2" t="inlineStr">
        <is>
          <t>86303</t>
        </is>
      </c>
      <c r="O41" s="4" t="n">
        <v>-23.28012066698076</v>
      </c>
      <c r="P41" s="4" t="n">
        <v>-9.780510398719825</v>
      </c>
      <c r="Q41" s="4" t="n">
        <v>-20.85235218485692</v>
      </c>
      <c r="R41" s="4" t="n">
        <v>-10.38224055459007</v>
      </c>
      <c r="S41" s="2" t="inlineStr">
        <is>
          <t>dentro de zapata</t>
        </is>
      </c>
    </row>
    <row r="42">
      <c r="A42" s="2" t="inlineStr">
        <is>
          <t>M-001</t>
        </is>
      </c>
      <c r="B42" s="2" t="inlineStr">
        <is>
          <t>Muro</t>
        </is>
      </c>
      <c r="C42" s="2" t="inlineStr">
        <is>
          <t>SOT Muro de 15cm</t>
        </is>
      </c>
      <c r="D42" s="3" t="n">
        <v>0.15</v>
      </c>
      <c r="E42" s="2" t="n"/>
      <c r="F42" s="2" t="n"/>
      <c r="G42" s="2" t="n"/>
      <c r="H42" s="4" t="n">
        <v>1.37499922568661</v>
      </c>
      <c r="I42" s="2" t="inlineStr">
        <is>
          <t>m</t>
        </is>
      </c>
      <c r="J42" s="2" t="n"/>
      <c r="K42" s="2" t="n"/>
      <c r="L42" s="4">
        <f>IF(J42="","",H42*J42)</f>
        <v/>
      </c>
      <c r="M42" s="2" t="inlineStr">
        <is>
          <t>m²</t>
        </is>
      </c>
      <c r="N42" s="2" t="inlineStr">
        <is>
          <t>86304</t>
        </is>
      </c>
      <c r="O42" s="4" t="n">
        <v>-23.86753044865199</v>
      </c>
      <c r="P42" s="4" t="n">
        <v>-9.557649674718906</v>
      </c>
      <c r="Q42" s="4" t="n">
        <v>-23.53674158515908</v>
      </c>
      <c r="R42" s="4" t="n">
        <v>-8.223033026228467</v>
      </c>
      <c r="S42" s="2" t="inlineStr"/>
    </row>
    <row r="43">
      <c r="A43" s="2" t="inlineStr">
        <is>
          <t>M-002</t>
        </is>
      </c>
      <c r="B43" s="2" t="inlineStr">
        <is>
          <t>Muro</t>
        </is>
      </c>
      <c r="C43" s="2" t="inlineStr">
        <is>
          <t>SOT Muro de 15cm</t>
        </is>
      </c>
      <c r="D43" s="3" t="n">
        <v>0.15</v>
      </c>
      <c r="E43" s="2" t="n"/>
      <c r="F43" s="2" t="n"/>
      <c r="G43" s="2" t="n"/>
      <c r="H43" s="4" t="n">
        <v>1.202001275103587</v>
      </c>
      <c r="I43" s="2" t="inlineStr">
        <is>
          <t>m</t>
        </is>
      </c>
      <c r="J43" s="2" t="n"/>
      <c r="K43" s="2" t="n"/>
      <c r="L43" s="4">
        <f>IF(J43="","",H43*J43)</f>
        <v/>
      </c>
      <c r="M43" s="2" t="inlineStr">
        <is>
          <t>m²</t>
        </is>
      </c>
      <c r="N43" s="2" t="inlineStr">
        <is>
          <t>8630C</t>
        </is>
      </c>
      <c r="O43" s="4" t="n">
        <v>-26.73942379019659</v>
      </c>
      <c r="P43" s="4" t="n">
        <v>-8.466709163402205</v>
      </c>
      <c r="Q43" s="4" t="n">
        <v>-26.45025371047527</v>
      </c>
      <c r="R43" s="4" t="n">
        <v>-7.300009660383274</v>
      </c>
      <c r="S43" s="2" t="inlineStr"/>
    </row>
    <row r="44">
      <c r="A44" s="2" t="inlineStr">
        <is>
          <t>V-001</t>
        </is>
      </c>
      <c r="B44" s="2" t="inlineStr">
        <is>
          <t>Vano puerta</t>
        </is>
      </c>
      <c r="C44" s="2" t="inlineStr">
        <is>
          <t>SOT Muro de 15cm - Vano puerta</t>
        </is>
      </c>
      <c r="D44" s="3" t="n">
        <v>0.15</v>
      </c>
      <c r="E44" s="2" t="n"/>
      <c r="F44" s="2" t="n"/>
      <c r="G44" s="2" t="n"/>
      <c r="H44" s="4" t="n">
        <v>0.8049999055902486</v>
      </c>
      <c r="I44" s="2" t="inlineStr">
        <is>
          <t>m</t>
        </is>
      </c>
      <c r="J44" s="2" t="n"/>
      <c r="K44" s="2" t="n"/>
      <c r="L44" s="2" t="n"/>
      <c r="M44" s="2" t="n"/>
      <c r="N44" s="2" t="inlineStr">
        <is>
          <t>86314</t>
        </is>
      </c>
      <c r="O44" s="4" t="n">
        <v>-26.45025371047527</v>
      </c>
      <c r="P44" s="4" t="n">
        <v>-7.300009660383274</v>
      </c>
      <c r="Q44" s="4" t="n">
        <v>-26.25659178041191</v>
      </c>
      <c r="R44" s="4" t="n">
        <v>-6.518651928710742</v>
      </c>
      <c r="S44" s="2" t="inlineStr">
        <is>
          <t>vano en extremo libre hasta la cara del muro que cruza: verificar; paño sobre vano no calculado (falta altura de vano)</t>
        </is>
      </c>
    </row>
    <row r="45">
      <c r="A45" s="2" t="inlineStr">
        <is>
          <t>M-003</t>
        </is>
      </c>
      <c r="B45" s="2" t="inlineStr">
        <is>
          <t>Muro</t>
        </is>
      </c>
      <c r="C45" s="2" t="inlineStr">
        <is>
          <t>SOT Muro de 20cm</t>
        </is>
      </c>
      <c r="D45" s="3" t="n">
        <v>0.2</v>
      </c>
      <c r="E45" s="2" t="n"/>
      <c r="F45" s="2" t="n"/>
      <c r="G45" s="2" t="n"/>
      <c r="H45" s="4" t="n">
        <v>2.281370243425506</v>
      </c>
      <c r="I45" s="2" t="inlineStr">
        <is>
          <t>m</t>
        </is>
      </c>
      <c r="J45" s="2" t="n"/>
      <c r="K45" s="2" t="n"/>
      <c r="L45" s="4">
        <f>IF(J45="","",H45*J45)</f>
        <v/>
      </c>
      <c r="M45" s="2" t="inlineStr">
        <is>
          <t>m²</t>
        </is>
      </c>
      <c r="N45" s="2" t="inlineStr">
        <is>
          <t>8631C</t>
        </is>
      </c>
      <c r="O45" s="4" t="n">
        <v>-21.49423163754451</v>
      </c>
      <c r="P45" s="4" t="n">
        <v>-0.8256720620691613</v>
      </c>
      <c r="Q45" s="4" t="n">
        <v>-19.59433750544087</v>
      </c>
      <c r="R45" s="4" t="n">
        <v>-2.088625930737978</v>
      </c>
      <c r="S45" s="2" t="inlineStr"/>
    </row>
    <row r="46">
      <c r="A46" s="2" t="inlineStr">
        <is>
          <t>V-002</t>
        </is>
      </c>
      <c r="B46" s="2" t="inlineStr">
        <is>
          <t>Vano puerta</t>
        </is>
      </c>
      <c r="C46" s="2" t="inlineStr">
        <is>
          <t>SOT Muro de 15cm - Vano puerta</t>
        </is>
      </c>
      <c r="D46" s="3" t="n">
        <v>0.15</v>
      </c>
      <c r="E46" s="2" t="n"/>
      <c r="F46" s="2" t="n"/>
      <c r="G46" s="2" t="n"/>
      <c r="H46" s="4" t="n">
        <v>0.7350000000219588</v>
      </c>
      <c r="I46" s="2" t="inlineStr">
        <is>
          <t>m</t>
        </is>
      </c>
      <c r="J46" s="2" t="n"/>
      <c r="K46" s="2" t="n"/>
      <c r="L46" s="2" t="n"/>
      <c r="M46" s="2" t="n"/>
      <c r="N46" s="2" t="inlineStr">
        <is>
          <t>86324</t>
        </is>
      </c>
      <c r="O46" s="4" t="n">
        <v>-26.40632522042391</v>
      </c>
      <c r="P46" s="4" t="n">
        <v>-7.434528239065267</v>
      </c>
      <c r="Q46" s="4" t="n">
        <v>-25.69291157142049</v>
      </c>
      <c r="R46" s="4" t="n">
        <v>-7.611350085701667</v>
      </c>
      <c r="S46" s="2" t="inlineStr">
        <is>
          <t>vano en extremo libre hasta la cara del muro que cruza: verificar; paño sobre vano no calculado (falta altura de vano)</t>
        </is>
      </c>
    </row>
    <row r="47">
      <c r="A47" s="2" t="inlineStr">
        <is>
          <t>M-004</t>
        </is>
      </c>
      <c r="B47" s="2" t="inlineStr">
        <is>
          <t>Muro</t>
        </is>
      </c>
      <c r="C47" s="2" t="inlineStr">
        <is>
          <t>SOT Muro de 15cm</t>
        </is>
      </c>
      <c r="D47" s="3" t="n">
        <v>0.15</v>
      </c>
      <c r="E47" s="2" t="n"/>
      <c r="F47" s="2" t="n"/>
      <c r="G47" s="2" t="n"/>
      <c r="H47" s="4" t="n">
        <v>2.164999999866719</v>
      </c>
      <c r="I47" s="2" t="inlineStr">
        <is>
          <t>m</t>
        </is>
      </c>
      <c r="J47" s="2" t="n"/>
      <c r="K47" s="2" t="n"/>
      <c r="L47" s="4">
        <f>IF(J47="","",H47*J47)</f>
        <v/>
      </c>
      <c r="M47" s="2" t="inlineStr">
        <is>
          <t>m²</t>
        </is>
      </c>
      <c r="N47" s="2" t="inlineStr">
        <is>
          <t>8632C</t>
        </is>
      </c>
      <c r="O47" s="4" t="n">
        <v>-25.69291157142049</v>
      </c>
      <c r="P47" s="4" t="n">
        <v>-7.611350085701667</v>
      </c>
      <c r="Q47" s="4" t="n">
        <v>-23.59149585720121</v>
      </c>
      <c r="R47" s="4" t="n">
        <v>-8.132192667923164</v>
      </c>
      <c r="S47" s="2" t="inlineStr"/>
    </row>
    <row r="48">
      <c r="A48" s="2" t="inlineStr">
        <is>
          <t>M-005</t>
        </is>
      </c>
      <c r="B48" s="2" t="inlineStr">
        <is>
          <t>Muro</t>
        </is>
      </c>
      <c r="C48" s="2" t="inlineStr">
        <is>
          <t>SOT Muro de 15cm</t>
        </is>
      </c>
      <c r="D48" s="3" t="n">
        <v>0.15</v>
      </c>
      <c r="E48" s="2" t="n"/>
      <c r="F48" s="2" t="n"/>
      <c r="G48" s="2" t="n"/>
      <c r="H48" s="4" t="n">
        <v>2.906932850377078</v>
      </c>
      <c r="I48" s="2" t="inlineStr">
        <is>
          <t>m</t>
        </is>
      </c>
      <c r="J48" s="2" t="n"/>
      <c r="K48" s="2" t="n"/>
      <c r="L48" s="4">
        <f>IF(J48="","",H48*J48)</f>
        <v/>
      </c>
      <c r="M48" s="2" t="inlineStr">
        <is>
          <t>m²</t>
        </is>
      </c>
      <c r="N48" s="2" t="inlineStr">
        <is>
          <t>86334</t>
        </is>
      </c>
      <c r="O48" s="4" t="n">
        <v>-28.10889259678935</v>
      </c>
      <c r="P48" s="4" t="n">
        <v>-5.982283930405483</v>
      </c>
      <c r="Q48" s="4" t="n">
        <v>-25.28733399524723</v>
      </c>
      <c r="R48" s="4" t="n">
        <v>-6.681616222427701</v>
      </c>
      <c r="S48" s="2" t="inlineStr"/>
    </row>
    <row r="49">
      <c r="A49" s="2" t="inlineStr">
        <is>
          <t>M-006</t>
        </is>
      </c>
      <c r="B49" s="2" t="inlineStr">
        <is>
          <t>Muro</t>
        </is>
      </c>
      <c r="C49" s="2" t="inlineStr">
        <is>
          <t>SOT Muro de 15cm</t>
        </is>
      </c>
      <c r="D49" s="3" t="n">
        <v>0.15</v>
      </c>
      <c r="E49" s="2" t="n"/>
      <c r="F49" s="2" t="n"/>
      <c r="G49" s="2" t="n"/>
      <c r="H49" s="4" t="n">
        <v>6.39138544558708</v>
      </c>
      <c r="I49" s="2" t="inlineStr">
        <is>
          <t>m</t>
        </is>
      </c>
      <c r="J49" s="2" t="n"/>
      <c r="K49" s="2" t="n"/>
      <c r="L49" s="4">
        <f>IF(J49="","",H49*J49)</f>
        <v/>
      </c>
      <c r="M49" s="2" t="inlineStr">
        <is>
          <t>m²</t>
        </is>
      </c>
      <c r="N49" s="2" t="inlineStr">
        <is>
          <t>8633C</t>
        </is>
      </c>
      <c r="O49" s="4" t="n">
        <v>-10.56318025020493</v>
      </c>
      <c r="P49" s="4" t="n">
        <v>-0.5887428845250599</v>
      </c>
      <c r="Q49" s="4" t="n">
        <v>-4.171794804617846</v>
      </c>
      <c r="R49" s="4" t="n">
        <v>-0.5887428845250617</v>
      </c>
      <c r="S49" s="2" t="inlineStr"/>
    </row>
    <row r="50">
      <c r="A50" s="2" t="inlineStr">
        <is>
          <t>V-003</t>
        </is>
      </c>
      <c r="B50" s="2" t="inlineStr">
        <is>
          <t>Vano puerta</t>
        </is>
      </c>
      <c r="C50" s="2" t="inlineStr">
        <is>
          <t>SOT Muro de 15cm - Vano puerta</t>
        </is>
      </c>
      <c r="D50" s="3" t="n">
        <v>0.15</v>
      </c>
      <c r="E50" s="2" t="n"/>
      <c r="F50" s="2" t="n"/>
      <c r="G50" s="2" t="n"/>
      <c r="H50" s="4" t="n">
        <v>0.6999999999999971</v>
      </c>
      <c r="I50" s="2" t="inlineStr">
        <is>
          <t>m</t>
        </is>
      </c>
      <c r="J50" s="2" t="n"/>
      <c r="K50" s="2" t="n"/>
      <c r="L50" s="2" t="n"/>
      <c r="M50" s="2" t="n"/>
      <c r="N50" s="2" t="inlineStr">
        <is>
          <t>86344</t>
        </is>
      </c>
      <c r="O50" s="4" t="n">
        <v>-4.171794804617846</v>
      </c>
      <c r="P50" s="4" t="n">
        <v>-0.5887428845250617</v>
      </c>
      <c r="Q50" s="4" t="n">
        <v>-3.471794804617849</v>
      </c>
      <c r="R50" s="4" t="n">
        <v>-0.588742884525062</v>
      </c>
      <c r="S50" s="2" t="inlineStr">
        <is>
          <t>paño sobre vano no calculado (falta altura de vano)</t>
        </is>
      </c>
    </row>
    <row r="51">
      <c r="A51" s="2" t="inlineStr">
        <is>
          <t>M-007</t>
        </is>
      </c>
      <c r="B51" s="2" t="inlineStr">
        <is>
          <t>Muro</t>
        </is>
      </c>
      <c r="C51" s="2" t="inlineStr">
        <is>
          <t>SOT Muro de 15cm</t>
        </is>
      </c>
      <c r="D51" s="3" t="n">
        <v>0.15</v>
      </c>
      <c r="E51" s="2" t="n"/>
      <c r="F51" s="2" t="n"/>
      <c r="G51" s="2" t="n"/>
      <c r="H51" s="4" t="n">
        <v>0.7100000425268824</v>
      </c>
      <c r="I51" s="2" t="inlineStr">
        <is>
          <t>m</t>
        </is>
      </c>
      <c r="J51" s="2" t="n"/>
      <c r="K51" s="2" t="n"/>
      <c r="L51" s="4">
        <f>IF(J51="","",H51*J51)</f>
        <v/>
      </c>
      <c r="M51" s="2" t="inlineStr">
        <is>
          <t>m²</t>
        </is>
      </c>
      <c r="N51" s="2" t="inlineStr">
        <is>
          <t>8634C</t>
        </is>
      </c>
      <c r="O51" s="4" t="n">
        <v>-3.471794804617849</v>
      </c>
      <c r="P51" s="4" t="n">
        <v>-0.588742884525062</v>
      </c>
      <c r="Q51" s="4" t="n">
        <v>-2.761794762090967</v>
      </c>
      <c r="R51" s="4" t="n">
        <v>-0.5887428845250622</v>
      </c>
      <c r="S51" s="2" t="inlineStr"/>
    </row>
    <row r="52">
      <c r="A52" s="2" t="inlineStr">
        <is>
          <t>M-008</t>
        </is>
      </c>
      <c r="B52" s="2" t="inlineStr">
        <is>
          <t>Muro</t>
        </is>
      </c>
      <c r="C52" s="2" t="inlineStr">
        <is>
          <t>SOT Muro de 15cm</t>
        </is>
      </c>
      <c r="D52" s="3" t="n">
        <v>0.15</v>
      </c>
      <c r="E52" s="2" t="n"/>
      <c r="F52" s="2" t="n"/>
      <c r="G52" s="2" t="n"/>
      <c r="H52" s="4" t="n">
        <v>1.799999990398005</v>
      </c>
      <c r="I52" s="2" t="inlineStr">
        <is>
          <t>m</t>
        </is>
      </c>
      <c r="J52" s="2" t="n"/>
      <c r="K52" s="2" t="n"/>
      <c r="L52" s="4">
        <f>IF(J52="","",H52*J52)</f>
        <v/>
      </c>
      <c r="M52" s="2" t="inlineStr">
        <is>
          <t>m²</t>
        </is>
      </c>
      <c r="N52" s="2" t="inlineStr">
        <is>
          <t>86354</t>
        </is>
      </c>
      <c r="O52" s="4" t="n">
        <v>-11.0110150593684</v>
      </c>
      <c r="P52" s="4" t="n">
        <v>1.158389845221137</v>
      </c>
      <c r="Q52" s="4" t="n">
        <v>-9.211015068970395</v>
      </c>
      <c r="R52" s="4" t="n">
        <v>1.158389845221136</v>
      </c>
      <c r="S52" s="2" t="inlineStr"/>
    </row>
    <row r="53">
      <c r="A53" s="2" t="inlineStr">
        <is>
          <t>V-004</t>
        </is>
      </c>
      <c r="B53" s="2" t="inlineStr">
        <is>
          <t>Vano puerta</t>
        </is>
      </c>
      <c r="C53" s="2" t="inlineStr">
        <is>
          <t>SOT Muro de 15cm - Vano puerta</t>
        </is>
      </c>
      <c r="D53" s="3" t="n">
        <v>0.15</v>
      </c>
      <c r="E53" s="2" t="n"/>
      <c r="F53" s="2" t="n"/>
      <c r="G53" s="2" t="n"/>
      <c r="H53" s="4" t="n">
        <v>0.9000000000000252</v>
      </c>
      <c r="I53" s="2" t="inlineStr">
        <is>
          <t>m</t>
        </is>
      </c>
      <c r="J53" s="2" t="n"/>
      <c r="K53" s="2" t="n"/>
      <c r="L53" s="2" t="n"/>
      <c r="M53" s="2" t="n"/>
      <c r="N53" s="2" t="inlineStr">
        <is>
          <t>8635C</t>
        </is>
      </c>
      <c r="O53" s="4" t="n">
        <v>-9.211015068970395</v>
      </c>
      <c r="P53" s="4" t="n">
        <v>1.158389845221136</v>
      </c>
      <c r="Q53" s="4" t="n">
        <v>-8.31101506897037</v>
      </c>
      <c r="R53" s="4" t="n">
        <v>1.158389845221136</v>
      </c>
      <c r="S53" s="2" t="inlineStr">
        <is>
          <t>paño sobre vano no calculado (falta altura de vano)</t>
        </is>
      </c>
    </row>
    <row r="54">
      <c r="A54" s="2" t="inlineStr">
        <is>
          <t>M-009</t>
        </is>
      </c>
      <c r="B54" s="2" t="inlineStr">
        <is>
          <t>Muro</t>
        </is>
      </c>
      <c r="C54" s="2" t="inlineStr">
        <is>
          <t>SOT Muro de 15cm</t>
        </is>
      </c>
      <c r="D54" s="3" t="n">
        <v>0.15</v>
      </c>
      <c r="E54" s="2" t="n"/>
      <c r="F54" s="2" t="n"/>
      <c r="G54" s="2" t="n"/>
      <c r="H54" s="4" t="n">
        <v>3.974999996445406</v>
      </c>
      <c r="I54" s="2" t="inlineStr">
        <is>
          <t>m</t>
        </is>
      </c>
      <c r="J54" s="2" t="n"/>
      <c r="K54" s="2" t="n"/>
      <c r="L54" s="4">
        <f>IF(J54="","",H54*J54)</f>
        <v/>
      </c>
      <c r="M54" s="2" t="inlineStr">
        <is>
          <t>m²</t>
        </is>
      </c>
      <c r="N54" s="2" t="inlineStr">
        <is>
          <t>86364</t>
        </is>
      </c>
      <c r="O54" s="4" t="n">
        <v>-8.31101506897037</v>
      </c>
      <c r="P54" s="4" t="n">
        <v>1.158389845221136</v>
      </c>
      <c r="Q54" s="4" t="n">
        <v>-4.336015072524964</v>
      </c>
      <c r="R54" s="4" t="n">
        <v>1.158389845221135</v>
      </c>
      <c r="S54" s="2" t="inlineStr"/>
    </row>
    <row r="55">
      <c r="A55" s="2" t="inlineStr">
        <is>
          <t>V-005</t>
        </is>
      </c>
      <c r="B55" s="2" t="inlineStr">
        <is>
          <t>Vano puerta</t>
        </is>
      </c>
      <c r="C55" s="2" t="inlineStr">
        <is>
          <t>SOT Muro de 15cm - Vano puerta</t>
        </is>
      </c>
      <c r="D55" s="3" t="n">
        <v>0.15</v>
      </c>
      <c r="E55" s="2" t="n"/>
      <c r="F55" s="2" t="n"/>
      <c r="G55" s="2" t="n"/>
      <c r="H55" s="4" t="n">
        <v>0.8999999999999959</v>
      </c>
      <c r="I55" s="2" t="inlineStr">
        <is>
          <t>m</t>
        </is>
      </c>
      <c r="J55" s="2" t="n"/>
      <c r="K55" s="2" t="n"/>
      <c r="L55" s="2" t="n"/>
      <c r="M55" s="2" t="n"/>
      <c r="N55" s="2" t="inlineStr">
        <is>
          <t>8636C</t>
        </is>
      </c>
      <c r="O55" s="4" t="n">
        <v>-4.336015072524964</v>
      </c>
      <c r="P55" s="4" t="n">
        <v>1.158389845221135</v>
      </c>
      <c r="Q55" s="4" t="n">
        <v>-3.436015072524968</v>
      </c>
      <c r="R55" s="4" t="n">
        <v>1.158389845221135</v>
      </c>
      <c r="S55" s="2" t="inlineStr">
        <is>
          <t>paño sobre vano no calculado (falta altura de vano)</t>
        </is>
      </c>
    </row>
    <row r="56">
      <c r="A56" s="2" t="inlineStr">
        <is>
          <t>M-010</t>
        </is>
      </c>
      <c r="B56" s="2" t="inlineStr">
        <is>
          <t>Muro</t>
        </is>
      </c>
      <c r="C56" s="2" t="inlineStr">
        <is>
          <t>SOT Muro de 15cm</t>
        </is>
      </c>
      <c r="D56" s="3" t="n">
        <v>0.15</v>
      </c>
      <c r="E56" s="2" t="n"/>
      <c r="F56" s="2" t="n"/>
      <c r="G56" s="2" t="n"/>
      <c r="H56" s="4" t="n">
        <v>4.924999919718748</v>
      </c>
      <c r="I56" s="2" t="inlineStr">
        <is>
          <t>m</t>
        </is>
      </c>
      <c r="J56" s="2" t="n"/>
      <c r="K56" s="2" t="n"/>
      <c r="L56" s="4">
        <f>IF(J56="","",H56*J56)</f>
        <v/>
      </c>
      <c r="M56" s="2" t="inlineStr">
        <is>
          <t>m²</t>
        </is>
      </c>
      <c r="N56" s="2" t="inlineStr">
        <is>
          <t>86374</t>
        </is>
      </c>
      <c r="O56" s="4" t="n">
        <v>-3.436015072524968</v>
      </c>
      <c r="P56" s="4" t="n">
        <v>1.158389845221135</v>
      </c>
      <c r="Q56" s="4" t="n">
        <v>1.48898484719378</v>
      </c>
      <c r="R56" s="4" t="n">
        <v>1.158389845221133</v>
      </c>
      <c r="S56" s="2" t="inlineStr"/>
    </row>
    <row r="57">
      <c r="A57" s="2" t="inlineStr">
        <is>
          <t>M-011</t>
        </is>
      </c>
      <c r="B57" s="2" t="inlineStr">
        <is>
          <t>Muro</t>
        </is>
      </c>
      <c r="C57" s="2" t="inlineStr">
        <is>
          <t>SOT Muro de 15cm</t>
        </is>
      </c>
      <c r="D57" s="3" t="n">
        <v>0.15</v>
      </c>
      <c r="E57" s="2" t="n"/>
      <c r="F57" s="2" t="n"/>
      <c r="G57" s="2" t="n"/>
      <c r="H57" s="4" t="n">
        <v>3.890288041570022</v>
      </c>
      <c r="I57" s="2" t="inlineStr">
        <is>
          <t>m</t>
        </is>
      </c>
      <c r="J57" s="2" t="n"/>
      <c r="K57" s="2" t="n"/>
      <c r="L57" s="4">
        <f>IF(J57="","",H57*J57)</f>
        <v/>
      </c>
      <c r="M57" s="2" t="inlineStr">
        <is>
          <t>m²</t>
        </is>
      </c>
      <c r="N57" s="2" t="inlineStr">
        <is>
          <t>8637C</t>
        </is>
      </c>
      <c r="O57" s="4" t="n">
        <v>-15.40130314715294</v>
      </c>
      <c r="P57" s="4" t="n">
        <v>5.86391217997563</v>
      </c>
      <c r="Q57" s="4" t="n">
        <v>-11.51101510558292</v>
      </c>
      <c r="R57" s="4" t="n">
        <v>5.863912179975629</v>
      </c>
      <c r="S57" s="2" t="inlineStr"/>
    </row>
    <row r="58">
      <c r="A58" s="2" t="inlineStr">
        <is>
          <t>M-012</t>
        </is>
      </c>
      <c r="B58" s="2" t="inlineStr">
        <is>
          <t>Muro</t>
        </is>
      </c>
      <c r="C58" s="2" t="inlineStr">
        <is>
          <t>SOT Muro de 15cm</t>
        </is>
      </c>
      <c r="D58" s="3" t="n">
        <v>0.15</v>
      </c>
      <c r="E58" s="2" t="n"/>
      <c r="F58" s="2" t="n"/>
      <c r="G58" s="2" t="n"/>
      <c r="H58" s="4" t="n">
        <v>3.137967648056534</v>
      </c>
      <c r="I58" s="2" t="inlineStr">
        <is>
          <t>m</t>
        </is>
      </c>
      <c r="J58" s="2" t="n"/>
      <c r="K58" s="2" t="n"/>
      <c r="L58" s="4">
        <f>IF(J58="","",H58*J58)</f>
        <v/>
      </c>
      <c r="M58" s="2" t="inlineStr">
        <is>
          <t>m²</t>
        </is>
      </c>
      <c r="N58" s="2" t="inlineStr">
        <is>
          <t>86384</t>
        </is>
      </c>
      <c r="O58" s="4" t="n">
        <v>-11.24999890501401</v>
      </c>
      <c r="P58" s="4" t="n">
        <v>7.810158549908036</v>
      </c>
      <c r="Q58" s="4" t="n">
        <v>-8.112031256957474</v>
      </c>
      <c r="R58" s="4" t="n">
        <v>7.810158549908035</v>
      </c>
      <c r="S58" s="2" t="inlineStr"/>
    </row>
    <row r="59">
      <c r="A59" s="2" t="inlineStr">
        <is>
          <t>M-013</t>
        </is>
      </c>
      <c r="B59" s="2" t="inlineStr">
        <is>
          <t>Muro</t>
        </is>
      </c>
      <c r="C59" s="2" t="inlineStr">
        <is>
          <t>SOT Muro de 15cm</t>
        </is>
      </c>
      <c r="D59" s="3" t="n">
        <v>0.15</v>
      </c>
      <c r="E59" s="2" t="n"/>
      <c r="F59" s="2" t="n"/>
      <c r="G59" s="2" t="n"/>
      <c r="H59" s="4" t="n">
        <v>3.237661829252729</v>
      </c>
      <c r="I59" s="2" t="inlineStr">
        <is>
          <t>m</t>
        </is>
      </c>
      <c r="J59" s="2" t="n"/>
      <c r="K59" s="2" t="n"/>
      <c r="L59" s="4">
        <f>IF(J59="","",H59*J59)</f>
        <v/>
      </c>
      <c r="M59" s="2" t="inlineStr">
        <is>
          <t>m²</t>
        </is>
      </c>
      <c r="N59" s="2" t="inlineStr">
        <is>
          <t>8638C</t>
        </is>
      </c>
      <c r="O59" s="4" t="n">
        <v>-7.749847387081004</v>
      </c>
      <c r="P59" s="4" t="n">
        <v>7.811222828401672</v>
      </c>
      <c r="Q59" s="4" t="n">
        <v>-4.512185557828275</v>
      </c>
      <c r="R59" s="4" t="n">
        <v>7.811222828401671</v>
      </c>
      <c r="S59" s="2" t="inlineStr"/>
    </row>
    <row r="60">
      <c r="A60" s="2" t="inlineStr">
        <is>
          <t>M-014</t>
        </is>
      </c>
      <c r="B60" s="2" t="inlineStr">
        <is>
          <t>Muro</t>
        </is>
      </c>
      <c r="C60" s="2" t="inlineStr">
        <is>
          <t>SOT Muro de 15cm</t>
        </is>
      </c>
      <c r="D60" s="3" t="n">
        <v>0.15</v>
      </c>
      <c r="E60" s="2" t="n"/>
      <c r="F60" s="2" t="n"/>
      <c r="G60" s="2" t="n"/>
      <c r="H60" s="4" t="n">
        <v>1.377661850442657</v>
      </c>
      <c r="I60" s="2" t="inlineStr">
        <is>
          <t>m</t>
        </is>
      </c>
      <c r="J60" s="2" t="n"/>
      <c r="K60" s="2" t="n"/>
      <c r="L60" s="4">
        <f>IF(J60="","",H60*J60)</f>
        <v/>
      </c>
      <c r="M60" s="2" t="inlineStr">
        <is>
          <t>m²</t>
        </is>
      </c>
      <c r="N60" s="2" t="inlineStr">
        <is>
          <t>86394</t>
        </is>
      </c>
      <c r="O60" s="4" t="n">
        <v>-4.149693090761091</v>
      </c>
      <c r="P60" s="4" t="n">
        <v>7.811268438120408</v>
      </c>
      <c r="Q60" s="4" t="n">
        <v>-2.772031240318434</v>
      </c>
      <c r="R60" s="4" t="n">
        <v>7.811268438120408</v>
      </c>
      <c r="S60" s="2" t="inlineStr"/>
    </row>
    <row r="61">
      <c r="A61" s="2" t="inlineStr">
        <is>
          <t>M-015</t>
        </is>
      </c>
      <c r="B61" s="2" t="inlineStr">
        <is>
          <t>Muro</t>
        </is>
      </c>
      <c r="C61" s="2" t="inlineStr">
        <is>
          <t>SOT Muro de 15cm</t>
        </is>
      </c>
      <c r="D61" s="3" t="n">
        <v>0.15</v>
      </c>
      <c r="E61" s="2" t="n"/>
      <c r="F61" s="2" t="n"/>
      <c r="G61" s="2" t="n"/>
      <c r="H61" s="4" t="n">
        <v>3.872507625969394</v>
      </c>
      <c r="I61" s="2" t="inlineStr">
        <is>
          <t>m</t>
        </is>
      </c>
      <c r="J61" s="2" t="n"/>
      <c r="K61" s="2" t="n"/>
      <c r="L61" s="4">
        <f>IF(J61="","",H61*J61)</f>
        <v/>
      </c>
      <c r="M61" s="2" t="inlineStr">
        <is>
          <t>m²</t>
        </is>
      </c>
      <c r="N61" s="2" t="inlineStr">
        <is>
          <t>8639C</t>
        </is>
      </c>
      <c r="O61" s="4" t="n">
        <v>-2.409693074122025</v>
      </c>
      <c r="P61" s="4" t="n">
        <v>7.811272893230207</v>
      </c>
      <c r="Q61" s="4" t="n">
        <v>1.462814551847369</v>
      </c>
      <c r="R61" s="4" t="n">
        <v>7.811272893230206</v>
      </c>
      <c r="S61" s="2" t="inlineStr"/>
    </row>
    <row r="62">
      <c r="A62" s="2" t="inlineStr">
        <is>
          <t>M-016</t>
        </is>
      </c>
      <c r="B62" s="2" t="inlineStr">
        <is>
          <t>Muro</t>
        </is>
      </c>
      <c r="C62" s="2" t="inlineStr">
        <is>
          <t>SOT Muro de 15cm</t>
        </is>
      </c>
      <c r="D62" s="3" t="n">
        <v>0.15</v>
      </c>
      <c r="E62" s="2" t="n"/>
      <c r="F62" s="2" t="n"/>
      <c r="G62" s="2" t="n"/>
      <c r="H62" s="4" t="n">
        <v>0.5790311530148848</v>
      </c>
      <c r="I62" s="2" t="inlineStr">
        <is>
          <t>m</t>
        </is>
      </c>
      <c r="J62" s="2" t="n"/>
      <c r="K62" s="2" t="n"/>
      <c r="L62" s="4">
        <f>IF(J62="","",H62*J62)</f>
        <v/>
      </c>
      <c r="M62" s="2" t="inlineStr">
        <is>
          <t>m²</t>
        </is>
      </c>
      <c r="N62" s="2" t="inlineStr">
        <is>
          <t>863A4</t>
        </is>
      </c>
      <c r="O62" s="4" t="n">
        <v>-2.686794772857335</v>
      </c>
      <c r="P62" s="4" t="n">
        <v>-3.53856612733719</v>
      </c>
      <c r="Q62" s="4" t="n">
        <v>-2.686794772857335</v>
      </c>
      <c r="R62" s="4" t="n">
        <v>-2.959534974322305</v>
      </c>
      <c r="S62" s="2" t="inlineStr"/>
    </row>
    <row r="63">
      <c r="A63" s="2" t="inlineStr">
        <is>
          <t>V-006</t>
        </is>
      </c>
      <c r="B63" s="2" t="inlineStr">
        <is>
          <t>Vano puerta</t>
        </is>
      </c>
      <c r="C63" s="2" t="inlineStr">
        <is>
          <t>SOT Muro de 15cm - Vano puerta</t>
        </is>
      </c>
      <c r="D63" s="3" t="n">
        <v>0.15</v>
      </c>
      <c r="E63" s="2" t="n"/>
      <c r="F63" s="2" t="n"/>
      <c r="G63" s="2" t="n"/>
      <c r="H63" s="4" t="n">
        <v>1.104031153014885</v>
      </c>
      <c r="I63" s="2" t="inlineStr">
        <is>
          <t>m</t>
        </is>
      </c>
      <c r="J63" s="2" t="n"/>
      <c r="K63" s="2" t="n"/>
      <c r="L63" s="2" t="n"/>
      <c r="M63" s="2" t="n"/>
      <c r="N63" s="2" t="inlineStr">
        <is>
          <t>863AC</t>
        </is>
      </c>
      <c r="O63" s="4" t="n">
        <v>-2.686794762090967</v>
      </c>
      <c r="P63" s="4" t="n">
        <v>-3.46356612733719</v>
      </c>
      <c r="Q63" s="4" t="n">
        <v>-2.686794762090967</v>
      </c>
      <c r="R63" s="4" t="n">
        <v>-2.359534974322306</v>
      </c>
      <c r="S63" s="2" t="inlineStr">
        <is>
          <t>vano en extremo libre hasta la cara del muro que cruza: verificar; paño sobre vano no calculado (falta altura de vano)</t>
        </is>
      </c>
    </row>
    <row r="64">
      <c r="A64" s="2" t="inlineStr">
        <is>
          <t>M-017</t>
        </is>
      </c>
      <c r="B64" s="2" t="inlineStr">
        <is>
          <t>Muro</t>
        </is>
      </c>
      <c r="C64" s="2" t="inlineStr">
        <is>
          <t>SOT Muro de 15cm</t>
        </is>
      </c>
      <c r="D64" s="3" t="n">
        <v>0.15</v>
      </c>
      <c r="E64" s="2" t="n"/>
      <c r="F64" s="2" t="n"/>
      <c r="G64" s="2" t="n"/>
      <c r="H64" s="4" t="n">
        <v>1.695792089797243</v>
      </c>
      <c r="I64" s="2" t="inlineStr">
        <is>
          <t>m</t>
        </is>
      </c>
      <c r="J64" s="2" t="n"/>
      <c r="K64" s="2" t="n"/>
      <c r="L64" s="4">
        <f>IF(J64="","",H64*J64)</f>
        <v/>
      </c>
      <c r="M64" s="2" t="inlineStr">
        <is>
          <t>m²</t>
        </is>
      </c>
      <c r="N64" s="2" t="inlineStr">
        <is>
          <t>863B4</t>
        </is>
      </c>
      <c r="O64" s="4" t="n">
        <v>-2.686794762090967</v>
      </c>
      <c r="P64" s="4" t="n">
        <v>-2.359534974322306</v>
      </c>
      <c r="Q64" s="4" t="n">
        <v>-2.686794762090967</v>
      </c>
      <c r="R64" s="4" t="n">
        <v>-0.6637428845250621</v>
      </c>
      <c r="S64" s="2" t="inlineStr"/>
    </row>
    <row r="65">
      <c r="A65" s="2" t="inlineStr">
        <is>
          <t>M-018</t>
        </is>
      </c>
      <c r="B65" s="2" t="inlineStr">
        <is>
          <t>Muro</t>
        </is>
      </c>
      <c r="C65" s="2" t="inlineStr">
        <is>
          <t>SOT Muro de 15cm</t>
        </is>
      </c>
      <c r="D65" s="3" t="n">
        <v>0.15</v>
      </c>
      <c r="E65" s="2" t="n"/>
      <c r="F65" s="2" t="n"/>
      <c r="G65" s="2" t="n"/>
      <c r="H65" s="4" t="n">
        <v>0.724823256671046</v>
      </c>
      <c r="I65" s="2" t="inlineStr">
        <is>
          <t>m</t>
        </is>
      </c>
      <c r="J65" s="2" t="n"/>
      <c r="K65" s="2" t="n"/>
      <c r="L65" s="4">
        <f>IF(J65="","",H65*J65)</f>
        <v/>
      </c>
      <c r="M65" s="2" t="inlineStr">
        <is>
          <t>m²</t>
        </is>
      </c>
      <c r="N65" s="2" t="inlineStr">
        <is>
          <t>863BC</t>
        </is>
      </c>
      <c r="O65" s="4" t="n">
        <v>-5.038180252492175</v>
      </c>
      <c r="P65" s="4" t="n">
        <v>-3.538566127337189</v>
      </c>
      <c r="Q65" s="4" t="n">
        <v>-5.038180252492175</v>
      </c>
      <c r="R65" s="4" t="n">
        <v>-2.813742870666143</v>
      </c>
      <c r="S65" s="2" t="inlineStr"/>
    </row>
    <row r="66">
      <c r="A66" s="2" t="inlineStr">
        <is>
          <t>V-007</t>
        </is>
      </c>
      <c r="B66" s="2" t="inlineStr">
        <is>
          <t>Vano puerta</t>
        </is>
      </c>
      <c r="C66" s="2" t="inlineStr">
        <is>
          <t>SOT Muro de 15cm - Vano puerta</t>
        </is>
      </c>
      <c r="D66" s="3" t="n">
        <v>0.15</v>
      </c>
      <c r="E66" s="2" t="n"/>
      <c r="F66" s="2" t="n"/>
      <c r="G66" s="2" t="n"/>
      <c r="H66" s="4" t="n">
        <v>0.9498232566710469</v>
      </c>
      <c r="I66" s="2" t="inlineStr">
        <is>
          <t>m</t>
        </is>
      </c>
      <c r="J66" s="2" t="n"/>
      <c r="K66" s="2" t="n"/>
      <c r="L66" s="2" t="n"/>
      <c r="M66" s="2" t="n"/>
      <c r="N66" s="2" t="inlineStr">
        <is>
          <t>863C4</t>
        </is>
      </c>
      <c r="O66" s="4" t="n">
        <v>-5.038180252492174</v>
      </c>
      <c r="P66" s="4" t="n">
        <v>-3.463566127337189</v>
      </c>
      <c r="Q66" s="4" t="n">
        <v>-5.038180252492174</v>
      </c>
      <c r="R66" s="4" t="n">
        <v>-2.513742870666142</v>
      </c>
      <c r="S66" s="2" t="inlineStr">
        <is>
          <t>vano en extremo libre hasta la cara del muro que cruza: verificar; paño sobre vano no calculado (falta altura de vano)</t>
        </is>
      </c>
    </row>
    <row r="67">
      <c r="A67" s="2" t="inlineStr">
        <is>
          <t>M-019</t>
        </is>
      </c>
      <c r="B67" s="2" t="inlineStr">
        <is>
          <t>Muro</t>
        </is>
      </c>
      <c r="C67" s="2" t="inlineStr">
        <is>
          <t>SOT Muro de 15cm</t>
        </is>
      </c>
      <c r="D67" s="3" t="n">
        <v>0.15</v>
      </c>
      <c r="E67" s="2" t="n"/>
      <c r="F67" s="2" t="n"/>
      <c r="G67" s="2" t="n"/>
      <c r="H67" s="4" t="n">
        <v>1.849999986141081</v>
      </c>
      <c r="I67" s="2" t="inlineStr">
        <is>
          <t>m</t>
        </is>
      </c>
      <c r="J67" s="2" t="n"/>
      <c r="K67" s="2" t="n"/>
      <c r="L67" s="4">
        <f>IF(J67="","",H67*J67)</f>
        <v/>
      </c>
      <c r="M67" s="2" t="inlineStr">
        <is>
          <t>m²</t>
        </is>
      </c>
      <c r="N67" s="2" t="inlineStr">
        <is>
          <t>863CC</t>
        </is>
      </c>
      <c r="O67" s="4" t="n">
        <v>-5.038180252492174</v>
      </c>
      <c r="P67" s="4" t="n">
        <v>-2.513742870666142</v>
      </c>
      <c r="Q67" s="4" t="n">
        <v>-5.038180252492174</v>
      </c>
      <c r="R67" s="4" t="n">
        <v>-0.6637428845250615</v>
      </c>
      <c r="S67" s="2" t="inlineStr"/>
    </row>
    <row r="68">
      <c r="A68" s="2" t="inlineStr">
        <is>
          <t>M-020</t>
        </is>
      </c>
      <c r="B68" s="2" t="inlineStr">
        <is>
          <t>Muro</t>
        </is>
      </c>
      <c r="C68" s="2" t="inlineStr">
        <is>
          <t>SOT Muro de 15cm</t>
        </is>
      </c>
      <c r="D68" s="3" t="n">
        <v>0.15</v>
      </c>
      <c r="E68" s="2" t="n"/>
      <c r="F68" s="2" t="n"/>
      <c r="G68" s="2" t="n"/>
      <c r="H68" s="4" t="n">
        <v>0.6550000008110468</v>
      </c>
      <c r="I68" s="2" t="inlineStr">
        <is>
          <t>m</t>
        </is>
      </c>
      <c r="J68" s="2" t="n"/>
      <c r="K68" s="2" t="n"/>
      <c r="L68" s="4">
        <f>IF(J68="","",H68*J68)</f>
        <v/>
      </c>
      <c r="M68" s="2" t="inlineStr">
        <is>
          <t>m²</t>
        </is>
      </c>
      <c r="N68" s="2" t="inlineStr">
        <is>
          <t>863D4</t>
        </is>
      </c>
      <c r="O68" s="4" t="n">
        <v>-10.68818025013013</v>
      </c>
      <c r="P68" s="4" t="n">
        <v>0.42838984441009</v>
      </c>
      <c r="Q68" s="4" t="n">
        <v>-10.68818025013013</v>
      </c>
      <c r="R68" s="4" t="n">
        <v>1.083389845221137</v>
      </c>
      <c r="S68" s="2" t="inlineStr"/>
    </row>
    <row r="69">
      <c r="A69" s="2" t="inlineStr">
        <is>
          <t>M-021</t>
        </is>
      </c>
      <c r="B69" s="2" t="inlineStr">
        <is>
          <t>Muro</t>
        </is>
      </c>
      <c r="C69" s="2" t="inlineStr">
        <is>
          <t>SOT Muro de 15cm</t>
        </is>
      </c>
      <c r="D69" s="3" t="n">
        <v>0.15</v>
      </c>
      <c r="E69" s="2" t="n"/>
      <c r="F69" s="2" t="n"/>
      <c r="G69" s="2" t="n"/>
      <c r="H69" s="4" t="n">
        <v>6.152867362865748</v>
      </c>
      <c r="I69" s="2" t="inlineStr">
        <is>
          <t>m</t>
        </is>
      </c>
      <c r="J69" s="2" t="n"/>
      <c r="K69" s="2" t="n"/>
      <c r="L69" s="4">
        <f>IF(J69="","",H69*J69)</f>
        <v/>
      </c>
      <c r="M69" s="2" t="inlineStr">
        <is>
          <t>m²</t>
        </is>
      </c>
      <c r="N69" s="2" t="inlineStr">
        <is>
          <t>863DC</t>
        </is>
      </c>
      <c r="O69" s="4" t="n">
        <v>-11.43601510558292</v>
      </c>
      <c r="P69" s="4" t="n">
        <v>1.583389844166293</v>
      </c>
      <c r="Q69" s="4" t="n">
        <v>-11.43601510558292</v>
      </c>
      <c r="R69" s="4" t="n">
        <v>7.736257207032041</v>
      </c>
      <c r="S69" s="2" t="inlineStr"/>
    </row>
    <row r="70">
      <c r="A70" s="2" t="inlineStr">
        <is>
          <t>V-008</t>
        </is>
      </c>
      <c r="B70" s="2" t="inlineStr">
        <is>
          <t>Vano puerta</t>
        </is>
      </c>
      <c r="C70" s="2" t="inlineStr">
        <is>
          <t>SOT Muro de 15cm - Vano puerta</t>
        </is>
      </c>
      <c r="D70" s="3" t="n">
        <v>0.15</v>
      </c>
      <c r="E70" s="2" t="n"/>
      <c r="F70" s="2" t="n"/>
      <c r="G70" s="2" t="n"/>
      <c r="H70" s="4" t="n">
        <v>0.79890359463002</v>
      </c>
      <c r="I70" s="2" t="inlineStr">
        <is>
          <t>m</t>
        </is>
      </c>
      <c r="J70" s="2" t="n"/>
      <c r="K70" s="2" t="n"/>
      <c r="L70" s="2" t="n"/>
      <c r="M70" s="2" t="n"/>
      <c r="N70" s="2" t="inlineStr">
        <is>
          <t>863E4</t>
        </is>
      </c>
      <c r="O70" s="4" t="n">
        <v>-11.43601510558292</v>
      </c>
      <c r="P70" s="4" t="n">
        <v>7.736257207032041</v>
      </c>
      <c r="Q70" s="4" t="n">
        <v>-11.43601510558292</v>
      </c>
      <c r="R70" s="4" t="n">
        <v>8.535160801662061</v>
      </c>
      <c r="S70" s="2" t="inlineStr">
        <is>
          <t>vano en extremo libre hasta la cara del muro que cruza: verificar; paño sobre vano no calculado (falta altura de vano)</t>
        </is>
      </c>
    </row>
    <row r="71">
      <c r="A71" s="2" t="inlineStr">
        <is>
          <t>M-022</t>
        </is>
      </c>
      <c r="B71" s="2" t="inlineStr">
        <is>
          <t>Muro</t>
        </is>
      </c>
      <c r="C71" s="2" t="inlineStr">
        <is>
          <t>SOT Muro de 15cm</t>
        </is>
      </c>
      <c r="D71" s="3" t="n">
        <v>0.15</v>
      </c>
      <c r="E71" s="2" t="n"/>
      <c r="F71" s="2" t="n"/>
      <c r="G71" s="2" t="n"/>
      <c r="H71" s="4" t="n">
        <v>1.872345020834683</v>
      </c>
      <c r="I71" s="2" t="inlineStr">
        <is>
          <t>m</t>
        </is>
      </c>
      <c r="J71" s="2" t="n"/>
      <c r="K71" s="2" t="n"/>
      <c r="L71" s="4">
        <f>IF(J71="","",H71*J71)</f>
        <v/>
      </c>
      <c r="M71" s="2" t="inlineStr">
        <is>
          <t>m²</t>
        </is>
      </c>
      <c r="N71" s="2" t="inlineStr">
        <is>
          <t>863EC</t>
        </is>
      </c>
      <c r="O71" s="4" t="n">
        <v>-16.42601511062043</v>
      </c>
      <c r="P71" s="4" t="n">
        <v>5.93891218009781</v>
      </c>
      <c r="Q71" s="4" t="n">
        <v>-16.42601511062043</v>
      </c>
      <c r="R71" s="4" t="n">
        <v>7.811257200932493</v>
      </c>
      <c r="S71" s="2" t="inlineStr"/>
    </row>
    <row r="72">
      <c r="A72" s="2" t="inlineStr">
        <is>
          <t>M-023</t>
        </is>
      </c>
      <c r="B72" s="2" t="inlineStr">
        <is>
          <t>Muro</t>
        </is>
      </c>
      <c r="C72" s="2" t="inlineStr">
        <is>
          <t>SOT Muro de 10cm</t>
        </is>
      </c>
      <c r="D72" s="3" t="n">
        <v>0.1</v>
      </c>
      <c r="E72" s="2" t="n"/>
      <c r="F72" s="2" t="n"/>
      <c r="G72" s="2" t="n"/>
      <c r="H72" s="4" t="n">
        <v>2.623501232465236</v>
      </c>
      <c r="I72" s="2" t="inlineStr">
        <is>
          <t>m</t>
        </is>
      </c>
      <c r="J72" s="2" t="n"/>
      <c r="K72" s="2" t="n"/>
      <c r="L72" s="4">
        <f>IF(J72="","",H72*J72)</f>
        <v/>
      </c>
      <c r="M72" s="2" t="inlineStr">
        <is>
          <t>m²</t>
        </is>
      </c>
      <c r="N72" s="2" t="inlineStr">
        <is>
          <t>863F4</t>
        </is>
      </c>
      <c r="O72" s="4" t="n">
        <v>1.538957968432093</v>
      </c>
      <c r="P72" s="4" t="n">
        <v>-3.137244117064624</v>
      </c>
      <c r="Q72" s="4" t="n">
        <v>1.538957968432093</v>
      </c>
      <c r="R72" s="4" t="n">
        <v>-0.5137428845993885</v>
      </c>
      <c r="S72" s="2" t="inlineStr">
        <is>
          <t>ancho medido 0.1500 m</t>
        </is>
      </c>
    </row>
    <row r="73">
      <c r="A73" s="2" t="inlineStr">
        <is>
          <t>M-024</t>
        </is>
      </c>
      <c r="B73" s="2" t="inlineStr">
        <is>
          <t>Muro</t>
        </is>
      </c>
      <c r="C73" s="2" t="inlineStr">
        <is>
          <t>SOT Muro de 10cm</t>
        </is>
      </c>
      <c r="D73" s="3" t="n">
        <v>0.1</v>
      </c>
      <c r="E73" s="2" t="n"/>
      <c r="F73" s="2" t="n"/>
      <c r="G73" s="2" t="n"/>
      <c r="H73" s="4" t="n">
        <v>0.5780917648396953</v>
      </c>
      <c r="I73" s="2" t="inlineStr">
        <is>
          <t>m</t>
        </is>
      </c>
      <c r="J73" s="2" t="n"/>
      <c r="K73" s="2" t="n"/>
      <c r="L73" s="4">
        <f>IF(J73="","",H73*J73)</f>
        <v/>
      </c>
      <c r="M73" s="2" t="inlineStr">
        <is>
          <t>m²</t>
        </is>
      </c>
      <c r="N73" s="2" t="inlineStr">
        <is>
          <t>863FC</t>
        </is>
      </c>
      <c r="O73" s="4" t="n">
        <v>-2.406801630279004</v>
      </c>
      <c r="P73" s="4" t="n">
        <v>-3.56356612733719</v>
      </c>
      <c r="Q73" s="4" t="n">
        <v>-2.406801630279004</v>
      </c>
      <c r="R73" s="4" t="n">
        <v>-2.985474362497495</v>
      </c>
      <c r="S73" s="2" t="inlineStr">
        <is>
          <t>ancho medido 0.1500 m</t>
        </is>
      </c>
    </row>
    <row r="74">
      <c r="A74" s="2" t="inlineStr">
        <is>
          <t>V-009</t>
        </is>
      </c>
      <c r="B74" s="2" t="inlineStr">
        <is>
          <t>Vano puerta</t>
        </is>
      </c>
      <c r="C74" s="2" t="inlineStr">
        <is>
          <t>SOT Muro de 10cm - Vano puerta</t>
        </is>
      </c>
      <c r="D74" s="3" t="n">
        <v>0.1</v>
      </c>
      <c r="E74" s="2" t="n"/>
      <c r="F74" s="2" t="n"/>
      <c r="G74" s="2" t="n"/>
      <c r="H74" s="4" t="n">
        <v>1.130427148701546</v>
      </c>
      <c r="I74" s="2" t="inlineStr">
        <is>
          <t>m</t>
        </is>
      </c>
      <c r="J74" s="2" t="n"/>
      <c r="K74" s="2" t="n"/>
      <c r="L74" s="2" t="n"/>
      <c r="M74" s="2" t="n"/>
      <c r="N74" s="2" t="inlineStr">
        <is>
          <t>86404</t>
        </is>
      </c>
      <c r="O74" s="4" t="n">
        <v>-2.406776967505698</v>
      </c>
      <c r="P74" s="4" t="n">
        <v>-3.46356612733719</v>
      </c>
      <c r="Q74" s="4" t="n">
        <v>-2.406776967505698</v>
      </c>
      <c r="R74" s="4" t="n">
        <v>-2.333138978635644</v>
      </c>
      <c r="S74" s="2" t="inlineStr">
        <is>
          <t>vano en extremo libre hasta la cara del muro que cruza: verificar; paño sobre vano no calculado (falta altura de vano); ancho medido 0.1500 m</t>
        </is>
      </c>
    </row>
    <row r="75">
      <c r="A75" s="2" t="inlineStr">
        <is>
          <t>M-025</t>
        </is>
      </c>
      <c r="B75" s="2" t="inlineStr">
        <is>
          <t>Muro</t>
        </is>
      </c>
      <c r="C75" s="2" t="inlineStr">
        <is>
          <t>SOT Muro de 10cm</t>
        </is>
      </c>
      <c r="D75" s="3" t="n">
        <v>0.1</v>
      </c>
      <c r="E75" s="2" t="n"/>
      <c r="F75" s="2" t="n"/>
      <c r="G75" s="2" t="n"/>
      <c r="H75" s="4" t="n">
        <v>1.64322837847054</v>
      </c>
      <c r="I75" s="2" t="inlineStr">
        <is>
          <t>m</t>
        </is>
      </c>
      <c r="J75" s="2" t="n"/>
      <c r="K75" s="2" t="n"/>
      <c r="L75" s="4">
        <f>IF(J75="","",H75*J75)</f>
        <v/>
      </c>
      <c r="M75" s="2" t="inlineStr">
        <is>
          <t>m²</t>
        </is>
      </c>
      <c r="N75" s="2" t="inlineStr">
        <is>
          <t>8640C</t>
        </is>
      </c>
      <c r="O75" s="4" t="n">
        <v>-2.406776967505698</v>
      </c>
      <c r="P75" s="4" t="n">
        <v>-2.333138978635644</v>
      </c>
      <c r="Q75" s="4" t="n">
        <v>-2.406776967505698</v>
      </c>
      <c r="R75" s="4" t="n">
        <v>-0.6899106001651042</v>
      </c>
      <c r="S75" s="2" t="inlineStr">
        <is>
          <t>ancho medido 0.1500 m</t>
        </is>
      </c>
    </row>
    <row r="76">
      <c r="A76" s="2" t="inlineStr">
        <is>
          <t>M-026</t>
        </is>
      </c>
      <c r="B76" s="2" t="inlineStr">
        <is>
          <t>Muro</t>
        </is>
      </c>
      <c r="C76" s="2" t="inlineStr">
        <is>
          <t>SOT Muro de 10cm</t>
        </is>
      </c>
      <c r="D76" s="3" t="n">
        <v>0.1</v>
      </c>
      <c r="E76" s="2" t="n"/>
      <c r="F76" s="2" t="n"/>
      <c r="G76" s="2" t="n"/>
      <c r="H76" s="4" t="n">
        <v>0.7238096784661243</v>
      </c>
      <c r="I76" s="2" t="inlineStr">
        <is>
          <t>m</t>
        </is>
      </c>
      <c r="J76" s="2" t="n"/>
      <c r="K76" s="2" t="n"/>
      <c r="L76" s="4">
        <f>IF(J76="","",H76*J76)</f>
        <v/>
      </c>
      <c r="M76" s="2" t="inlineStr">
        <is>
          <t>m²</t>
        </is>
      </c>
      <c r="N76" s="2" t="inlineStr">
        <is>
          <t>86414</t>
        </is>
      </c>
      <c r="O76" s="4" t="n">
        <v>-9.107516265478322</v>
      </c>
      <c r="P76" s="4" t="n">
        <v>-3.563566127337188</v>
      </c>
      <c r="Q76" s="4" t="n">
        <v>-9.107516265478322</v>
      </c>
      <c r="R76" s="4" t="n">
        <v>-2.839756448871064</v>
      </c>
      <c r="S76" s="2" t="inlineStr">
        <is>
          <t>ancho medido 0.1500 m</t>
        </is>
      </c>
    </row>
    <row r="77">
      <c r="A77" s="2" t="inlineStr">
        <is>
          <t>M-027</t>
        </is>
      </c>
      <c r="B77" s="2" t="inlineStr">
        <is>
          <t>Muro</t>
        </is>
      </c>
      <c r="C77" s="2" t="inlineStr">
        <is>
          <t>SOT Muro de 10cm</t>
        </is>
      </c>
      <c r="D77" s="3" t="n">
        <v>0.1</v>
      </c>
      <c r="E77" s="2" t="n"/>
      <c r="F77" s="2" t="n"/>
      <c r="G77" s="2" t="n"/>
      <c r="H77" s="4" t="n">
        <v>1.390923097274281</v>
      </c>
      <c r="I77" s="2" t="inlineStr">
        <is>
          <t>m</t>
        </is>
      </c>
      <c r="J77" s="2" t="n"/>
      <c r="K77" s="2" t="n"/>
      <c r="L77" s="4">
        <f>IF(J77="","",H77*J77)</f>
        <v/>
      </c>
      <c r="M77" s="2" t="inlineStr">
        <is>
          <t>m²</t>
        </is>
      </c>
      <c r="N77" s="2" t="inlineStr">
        <is>
          <t>8641C</t>
        </is>
      </c>
      <c r="O77" s="4" t="n">
        <v>-10.71318025024209</v>
      </c>
      <c r="P77" s="4" t="n">
        <v>-4.054665967940417</v>
      </c>
      <c r="Q77" s="4" t="n">
        <v>-10.71318025024209</v>
      </c>
      <c r="R77" s="4" t="n">
        <v>-2.663742870666137</v>
      </c>
      <c r="S77" s="2" t="inlineStr">
        <is>
          <t>ancho medido 0.1500 m</t>
        </is>
      </c>
    </row>
    <row r="78">
      <c r="A78" s="2" t="inlineStr">
        <is>
          <t>M-028</t>
        </is>
      </c>
      <c r="B78" s="2" t="inlineStr">
        <is>
          <t>Muro</t>
        </is>
      </c>
      <c r="C78" s="2" t="inlineStr">
        <is>
          <t>SOT Muro de 10cm</t>
        </is>
      </c>
      <c r="D78" s="3" t="n">
        <v>0.1</v>
      </c>
      <c r="E78" s="2" t="n"/>
      <c r="F78" s="2" t="n"/>
      <c r="G78" s="2" t="n"/>
      <c r="H78" s="4" t="n">
        <v>0.6617348505742608</v>
      </c>
      <c r="I78" s="2" t="inlineStr">
        <is>
          <t>m</t>
        </is>
      </c>
      <c r="J78" s="2" t="n"/>
      <c r="K78" s="2" t="n"/>
      <c r="L78" s="4">
        <f>IF(J78="","",H78*J78)</f>
        <v/>
      </c>
      <c r="M78" s="2" t="inlineStr">
        <is>
          <t>m²</t>
        </is>
      </c>
      <c r="N78" s="2" t="inlineStr">
        <is>
          <t>86424</t>
        </is>
      </c>
      <c r="O78" s="4" t="n">
        <v>-10.61318025020494</v>
      </c>
      <c r="P78" s="4" t="n">
        <v>-2.613742870591826</v>
      </c>
      <c r="Q78" s="4" t="n">
        <v>-9.95144539963068</v>
      </c>
      <c r="R78" s="4" t="n">
        <v>-2.613742870591827</v>
      </c>
      <c r="S78" s="2" t="inlineStr">
        <is>
          <t>ancho medido 0.1500 m</t>
        </is>
      </c>
    </row>
    <row r="79">
      <c r="A79" s="2" t="inlineStr">
        <is>
          <t>M-029</t>
        </is>
      </c>
      <c r="B79" s="2" t="inlineStr">
        <is>
          <t>Muro</t>
        </is>
      </c>
      <c r="C79" s="2" t="inlineStr">
        <is>
          <t>SOT Muro de 20cm</t>
        </is>
      </c>
      <c r="D79" s="3" t="n">
        <v>0.2</v>
      </c>
      <c r="E79" s="2" t="n"/>
      <c r="F79" s="2" t="n"/>
      <c r="G79" s="2" t="n"/>
      <c r="H79" s="4" t="n">
        <v>5.089999869081073</v>
      </c>
      <c r="I79" s="2" t="inlineStr">
        <is>
          <t>m</t>
        </is>
      </c>
      <c r="J79" s="2" t="n"/>
      <c r="K79" s="2" t="n"/>
      <c r="L79" s="4">
        <f>IF(J79="","",H79*J79)</f>
        <v/>
      </c>
      <c r="M79" s="2" t="inlineStr">
        <is>
          <t>m²</t>
        </is>
      </c>
      <c r="N79" s="2" t="inlineStr">
        <is>
          <t>8642C</t>
        </is>
      </c>
      <c r="O79" s="4" t="n">
        <v>1.988984847164796</v>
      </c>
      <c r="P79" s="4" t="n">
        <v>-3.563642896226039</v>
      </c>
      <c r="Q79" s="4" t="n">
        <v>1.988984847164797</v>
      </c>
      <c r="R79" s="4" t="n">
        <v>1.526356972855034</v>
      </c>
      <c r="S79" s="2" t="inlineStr"/>
    </row>
    <row r="80">
      <c r="A80" s="2" t="inlineStr">
        <is>
          <t>M-030</t>
        </is>
      </c>
      <c r="B80" s="2" t="inlineStr">
        <is>
          <t>Muro</t>
        </is>
      </c>
      <c r="C80" s="2" t="inlineStr">
        <is>
          <t>SOT Muro de 20cm</t>
        </is>
      </c>
      <c r="D80" s="3" t="n">
        <v>0.2</v>
      </c>
      <c r="E80" s="2" t="n"/>
      <c r="F80" s="2" t="n"/>
      <c r="G80" s="2" t="n"/>
      <c r="H80" s="4" t="n">
        <v>5.756028921389045</v>
      </c>
      <c r="I80" s="2" t="inlineStr">
        <is>
          <t>m</t>
        </is>
      </c>
      <c r="J80" s="2" t="n"/>
      <c r="K80" s="2" t="n"/>
      <c r="L80" s="4">
        <f>IF(J80="","",H80*J80)</f>
        <v/>
      </c>
      <c r="M80" s="2" t="inlineStr">
        <is>
          <t>m²</t>
        </is>
      </c>
      <c r="N80" s="2" t="inlineStr">
        <is>
          <t>86434</t>
        </is>
      </c>
      <c r="O80" s="4" t="n">
        <v>1.788985002613424</v>
      </c>
      <c r="P80" s="4" t="n">
        <v>1.529131880133692</v>
      </c>
      <c r="Q80" s="4" t="n">
        <v>1.788985002613424</v>
      </c>
      <c r="R80" s="4" t="n">
        <v>7.285160801522736</v>
      </c>
      <c r="S80" s="2" t="inlineStr"/>
    </row>
    <row r="81">
      <c r="A81" s="2" t="inlineStr">
        <is>
          <t>V-010</t>
        </is>
      </c>
      <c r="B81" s="2" t="inlineStr">
        <is>
          <t>Vano puerta</t>
        </is>
      </c>
      <c r="C81" s="2" t="inlineStr">
        <is>
          <t>SOT Muro de 20cm - Vano puerta</t>
        </is>
      </c>
      <c r="D81" s="3" t="n">
        <v>0.2</v>
      </c>
      <c r="E81" s="2" t="n"/>
      <c r="F81" s="2" t="n"/>
      <c r="G81" s="2" t="n"/>
      <c r="H81" s="4" t="n">
        <v>1.250000000139322</v>
      </c>
      <c r="I81" s="2" t="inlineStr">
        <is>
          <t>m</t>
        </is>
      </c>
      <c r="J81" s="2" t="n"/>
      <c r="K81" s="2" t="n"/>
      <c r="L81" s="2" t="n"/>
      <c r="M81" s="2" t="n"/>
      <c r="N81" s="2" t="inlineStr">
        <is>
          <t>8643C</t>
        </is>
      </c>
      <c r="O81" s="4" t="n">
        <v>1.788985002613424</v>
      </c>
      <c r="P81" s="4" t="n">
        <v>7.285160801522736</v>
      </c>
      <c r="Q81" s="4" t="n">
        <v>1.788985002613424</v>
      </c>
      <c r="R81" s="4" t="n">
        <v>8.535160801662059</v>
      </c>
      <c r="S81" s="2" t="inlineStr">
        <is>
          <t>vano en extremo libre hasta la cara del muro que cruza: verificar; paño sobre vano no calculado (falta altura de vano)</t>
        </is>
      </c>
    </row>
    <row r="82">
      <c r="A82" s="2" t="inlineStr">
        <is>
          <t>M-031</t>
        </is>
      </c>
      <c r="B82" s="2" t="inlineStr">
        <is>
          <t>Muro</t>
        </is>
      </c>
      <c r="C82" s="2" t="inlineStr">
        <is>
          <t>SOT Muro de 20cm</t>
        </is>
      </c>
      <c r="D82" s="3" t="n">
        <v>0.2</v>
      </c>
      <c r="E82" s="2" t="n"/>
      <c r="F82" s="2" t="n"/>
      <c r="G82" s="2" t="n"/>
      <c r="H82" s="4" t="n">
        <v>4.816421280569522</v>
      </c>
      <c r="I82" s="2" t="inlineStr">
        <is>
          <t>m</t>
        </is>
      </c>
      <c r="J82" s="2" t="n"/>
      <c r="K82" s="2" t="n"/>
      <c r="L82" s="4">
        <f>IF(J82="","",H82*J82)</f>
        <v/>
      </c>
      <c r="M82" s="2" t="inlineStr">
        <is>
          <t>m²</t>
        </is>
      </c>
      <c r="N82" s="2" t="inlineStr">
        <is>
          <t>86444</t>
        </is>
      </c>
      <c r="O82" s="4" t="n">
        <v>3.526048803894354</v>
      </c>
      <c r="P82" s="4" t="n">
        <v>1.308220307133823</v>
      </c>
      <c r="Q82" s="4" t="n">
        <v>5.379985198865111</v>
      </c>
      <c r="R82" s="4" t="n">
        <v>5.753536245886185</v>
      </c>
      <c r="S82" s="2" t="inlineStr"/>
    </row>
    <row r="83">
      <c r="A83" s="2" t="inlineStr">
        <is>
          <t>M-032</t>
        </is>
      </c>
      <c r="B83" s="2" t="inlineStr">
        <is>
          <t>Muro</t>
        </is>
      </c>
      <c r="C83" s="2" t="inlineStr">
        <is>
          <t>SOT Muro de 20cm</t>
        </is>
      </c>
      <c r="D83" s="3" t="n">
        <v>0.2</v>
      </c>
      <c r="E83" s="2" t="n"/>
      <c r="F83" s="2" t="n"/>
      <c r="G83" s="2" t="n"/>
      <c r="H83" s="4" t="n">
        <v>1.839999995713379</v>
      </c>
      <c r="I83" s="2" t="inlineStr">
        <is>
          <t>m</t>
        </is>
      </c>
      <c r="J83" s="2" t="n"/>
      <c r="K83" s="2" t="n"/>
      <c r="L83" s="4">
        <f>IF(J83="","",H83*J83)</f>
        <v/>
      </c>
      <c r="M83" s="2" t="inlineStr">
        <is>
          <t>m²</t>
        </is>
      </c>
      <c r="N83" s="2" t="inlineStr">
        <is>
          <t>8644C</t>
        </is>
      </c>
      <c r="O83" s="4" t="n">
        <v>5.557818226709584</v>
      </c>
      <c r="P83" s="4" t="n">
        <v>6.179939223842267</v>
      </c>
      <c r="Q83" s="4" t="n">
        <v>6.266070840026603</v>
      </c>
      <c r="R83" s="4" t="n">
        <v>7.878167188502739</v>
      </c>
      <c r="S83" s="2" t="inlineStr"/>
    </row>
    <row r="84">
      <c r="A84" s="2" t="inlineStr">
        <is>
          <t>M-033</t>
        </is>
      </c>
      <c r="B84" s="2" t="inlineStr">
        <is>
          <t>Muro</t>
        </is>
      </c>
      <c r="C84" s="2" t="inlineStr">
        <is>
          <t>SOT Muro de 10cm</t>
        </is>
      </c>
      <c r="D84" s="3" t="n">
        <v>0.1</v>
      </c>
      <c r="E84" s="2" t="n"/>
      <c r="F84" s="2" t="n"/>
      <c r="G84" s="2" t="n"/>
      <c r="H84" s="4" t="n">
        <v>0.3999999999999968</v>
      </c>
      <c r="I84" s="2" t="inlineStr">
        <is>
          <t>m</t>
        </is>
      </c>
      <c r="J84" s="2" t="n"/>
      <c r="K84" s="2" t="n"/>
      <c r="L84" s="4">
        <f>IF(J84="","",H84*J84)</f>
        <v/>
      </c>
      <c r="M84" s="2" t="inlineStr">
        <is>
          <t>m²</t>
        </is>
      </c>
      <c r="N84" s="2" t="inlineStr">
        <is>
          <t>86454</t>
        </is>
      </c>
      <c r="O84" s="4" t="n">
        <v>8.18437250848379</v>
      </c>
      <c r="P84" s="4" t="n">
        <v>4.840740954873231</v>
      </c>
      <c r="Q84" s="4" t="n">
        <v>8.553552501546671</v>
      </c>
      <c r="R84" s="4" t="n">
        <v>4.68677299482281</v>
      </c>
      <c r="S84" s="2" t="inlineStr">
        <is>
          <t>ancho medido 0.1500 m</t>
        </is>
      </c>
    </row>
    <row r="85">
      <c r="A85" s="2" t="inlineStr">
        <is>
          <t>M-034</t>
        </is>
      </c>
      <c r="B85" s="2" t="inlineStr">
        <is>
          <t>Muro</t>
        </is>
      </c>
      <c r="C85" s="2" t="inlineStr">
        <is>
          <t>SOT Muro de 10cm</t>
        </is>
      </c>
      <c r="D85" s="3" t="n">
        <v>0.1</v>
      </c>
      <c r="E85" s="2" t="n"/>
      <c r="F85" s="2" t="n"/>
      <c r="G85" s="2" t="n"/>
      <c r="H85" s="4" t="n">
        <v>0.3999999999999968</v>
      </c>
      <c r="I85" s="2" t="inlineStr">
        <is>
          <t>m</t>
        </is>
      </c>
      <c r="J85" s="2" t="n"/>
      <c r="K85" s="2" t="n"/>
      <c r="L85" s="4">
        <f>IF(J85="","",H85*J85)</f>
        <v/>
      </c>
      <c r="M85" s="2" t="inlineStr">
        <is>
          <t>m²</t>
        </is>
      </c>
      <c r="N85" s="2" t="inlineStr">
        <is>
          <t>8645C</t>
        </is>
      </c>
      <c r="O85" s="4" t="n">
        <v>8.242110493595806</v>
      </c>
      <c r="P85" s="4" t="n">
        <v>4.979183452071956</v>
      </c>
      <c r="Q85" s="4" t="n">
        <v>8.611290486658687</v>
      </c>
      <c r="R85" s="4" t="n">
        <v>4.825215492021535</v>
      </c>
      <c r="S85" s="2" t="inlineStr">
        <is>
          <t>ancho medido 0.1500 m</t>
        </is>
      </c>
    </row>
    <row r="86">
      <c r="A86" s="2" t="inlineStr">
        <is>
          <t>M-035</t>
        </is>
      </c>
      <c r="B86" s="2" t="inlineStr">
        <is>
          <t>Muro</t>
        </is>
      </c>
      <c r="C86" s="2" t="inlineStr">
        <is>
          <t>SOT Muro de contencion de 30cm</t>
        </is>
      </c>
      <c r="D86" s="3" t="n">
        <v>0.3</v>
      </c>
      <c r="E86" s="2" t="n"/>
      <c r="F86" s="2" t="n"/>
      <c r="G86" s="2" t="n"/>
      <c r="H86" s="4" t="n">
        <v>11.46172589141256</v>
      </c>
      <c r="I86" s="2" t="inlineStr">
        <is>
          <t>m</t>
        </is>
      </c>
      <c r="J86" s="2" t="n"/>
      <c r="K86" s="2" t="n"/>
      <c r="L86" s="4">
        <f>IF(J86="","",H86*J86)</f>
        <v/>
      </c>
      <c r="M86" s="2" t="inlineStr">
        <is>
          <t>m²</t>
        </is>
      </c>
      <c r="N86" s="2" t="inlineStr">
        <is>
          <t>86464</t>
        </is>
      </c>
      <c r="O86" s="4" t="n">
        <v>-9.972741044218786</v>
      </c>
      <c r="P86" s="4" t="n">
        <v>-3.613566127337188</v>
      </c>
      <c r="Q86" s="4" t="n">
        <v>1.488984847193773</v>
      </c>
      <c r="R86" s="4" t="n">
        <v>-3.613566127337191</v>
      </c>
      <c r="S86" s="2" t="inlineStr">
        <is>
          <t>doble hilada (0.150 m entre centros)</t>
        </is>
      </c>
    </row>
    <row r="87">
      <c r="A87" s="2" t="inlineStr">
        <is>
          <t>M-036</t>
        </is>
      </c>
      <c r="B87" s="2" t="inlineStr">
        <is>
          <t>Muro</t>
        </is>
      </c>
      <c r="C87" s="2" t="inlineStr">
        <is>
          <t>SOT Muro de contencion de 30cm</t>
        </is>
      </c>
      <c r="D87" s="3" t="n">
        <v>0.3</v>
      </c>
      <c r="E87" s="2" t="n"/>
      <c r="F87" s="2" t="n"/>
      <c r="G87" s="2" t="n"/>
      <c r="H87" s="4" t="n">
        <v>7.093474902667895</v>
      </c>
      <c r="I87" s="2" t="inlineStr">
        <is>
          <t>m</t>
        </is>
      </c>
      <c r="J87" s="2" t="n"/>
      <c r="K87" s="2" t="n"/>
      <c r="L87" s="4">
        <f>IF(J87="","",H87*J87)</f>
        <v/>
      </c>
      <c r="M87" s="2" t="inlineStr">
        <is>
          <t>m²</t>
        </is>
      </c>
      <c r="N87" s="2" t="inlineStr">
        <is>
          <t>8646C</t>
        </is>
      </c>
      <c r="O87" s="4" t="n">
        <v>-18.7044900318839</v>
      </c>
      <c r="P87" s="4" t="n">
        <v>7.886257200932494</v>
      </c>
      <c r="Q87" s="4" t="n">
        <v>-11.611015129216</v>
      </c>
      <c r="R87" s="4" t="n">
        <v>7.886257200932492</v>
      </c>
      <c r="S87" s="2" t="inlineStr">
        <is>
          <t>doble hilada (0.150 m entre centros)</t>
        </is>
      </c>
    </row>
    <row r="88">
      <c r="A88" s="2" t="inlineStr">
        <is>
          <t>M-037</t>
        </is>
      </c>
      <c r="B88" s="2" t="inlineStr">
        <is>
          <t>Muro</t>
        </is>
      </c>
      <c r="C88" s="2" t="inlineStr">
        <is>
          <t>SOT Muro de contencion de 30cm</t>
        </is>
      </c>
      <c r="D88" s="3" t="n">
        <v>0.3</v>
      </c>
      <c r="E88" s="2" t="n"/>
      <c r="F88" s="2" t="n"/>
      <c r="G88" s="2" t="n"/>
      <c r="H88" s="4" t="n">
        <v>13.20000012967443</v>
      </c>
      <c r="I88" s="2" t="inlineStr">
        <is>
          <t>m</t>
        </is>
      </c>
      <c r="J88" s="2" t="n"/>
      <c r="K88" s="2" t="n"/>
      <c r="L88" s="4">
        <f>IF(J88="","",H88*J88)</f>
        <v/>
      </c>
      <c r="M88" s="2" t="inlineStr">
        <is>
          <t>m²</t>
        </is>
      </c>
      <c r="N88" s="2" t="inlineStr">
        <is>
          <t>86474</t>
        </is>
      </c>
      <c r="O88" s="4" t="n">
        <v>-11.611015129216</v>
      </c>
      <c r="P88" s="4" t="n">
        <v>8.685160801662063</v>
      </c>
      <c r="Q88" s="4" t="n">
        <v>1.588985000458428</v>
      </c>
      <c r="R88" s="4" t="n">
        <v>8.685160801662059</v>
      </c>
      <c r="S88" s="2" t="inlineStr">
        <is>
          <t>doble hilada (0.150 m entre centros)</t>
        </is>
      </c>
    </row>
    <row r="89">
      <c r="A89" s="2" t="inlineStr">
        <is>
          <t>M-038</t>
        </is>
      </c>
      <c r="B89" s="2" t="inlineStr">
        <is>
          <t>Muro</t>
        </is>
      </c>
      <c r="C89" s="2" t="inlineStr">
        <is>
          <t>SOT Muro de contencion de 30cm</t>
        </is>
      </c>
      <c r="D89" s="3" t="n">
        <v>0.3</v>
      </c>
      <c r="E89" s="2" t="n"/>
      <c r="F89" s="2" t="n"/>
      <c r="G89" s="2" t="n"/>
      <c r="H89" s="4" t="n">
        <v>12.50019055038199</v>
      </c>
      <c r="I89" s="2" t="inlineStr">
        <is>
          <t>m</t>
        </is>
      </c>
      <c r="J89" s="2" t="n"/>
      <c r="K89" s="2" t="n"/>
      <c r="L89" s="4">
        <f>IF(J89="","",H89*J89)</f>
        <v/>
      </c>
      <c r="M89" s="2" t="inlineStr">
        <is>
          <t>m²</t>
        </is>
      </c>
      <c r="N89" s="2" t="inlineStr">
        <is>
          <t>8647C</t>
        </is>
      </c>
      <c r="O89" s="4" t="n">
        <v>-17.55169920511855</v>
      </c>
      <c r="P89" s="4" t="n">
        <v>-14.71921743556369</v>
      </c>
      <c r="Q89" s="4" t="n">
        <v>-10.63442673262909</v>
      </c>
      <c r="R89" s="4" t="n">
        <v>-4.307392171125236</v>
      </c>
      <c r="S89" s="2" t="inlineStr">
        <is>
          <t>doble hilada (0.150 m entre centros)</t>
        </is>
      </c>
    </row>
    <row r="90">
      <c r="A90" s="2" t="inlineStr">
        <is>
          <t>M-039</t>
        </is>
      </c>
      <c r="B90" s="2" t="inlineStr">
        <is>
          <t>Muro</t>
        </is>
      </c>
      <c r="C90" s="2" t="inlineStr">
        <is>
          <t>SOT Muro de contencion de 30cm</t>
        </is>
      </c>
      <c r="D90" s="3" t="n">
        <v>0.3</v>
      </c>
      <c r="E90" s="2" t="n"/>
      <c r="F90" s="2" t="n"/>
      <c r="G90" s="2" t="n"/>
      <c r="H90" s="4" t="n">
        <v>18.76114853511661</v>
      </c>
      <c r="I90" s="2" t="inlineStr">
        <is>
          <t>m</t>
        </is>
      </c>
      <c r="J90" s="2" t="n"/>
      <c r="K90" s="2" t="n"/>
      <c r="L90" s="4">
        <f>IF(J90="","",H90*J90)</f>
        <v/>
      </c>
      <c r="M90" s="2" t="inlineStr">
        <is>
          <t>m²</t>
        </is>
      </c>
      <c r="N90" s="2" t="inlineStr">
        <is>
          <t>86484</t>
        </is>
      </c>
      <c r="O90" s="4" t="n">
        <v>-29.68103534642486</v>
      </c>
      <c r="P90" s="4" t="n">
        <v>-7.987683838264891</v>
      </c>
      <c r="Q90" s="4" t="n">
        <v>-19.29911550358837</v>
      </c>
      <c r="R90" s="4" t="n">
        <v>7.639101971159462</v>
      </c>
      <c r="S90" s="2" t="inlineStr">
        <is>
          <t>doble hilada (0.150 m entre centros)</t>
        </is>
      </c>
    </row>
    <row r="91">
      <c r="A91" s="2" t="inlineStr">
        <is>
          <t>M-040</t>
        </is>
      </c>
      <c r="B91" s="2" t="inlineStr">
        <is>
          <t>Muro</t>
        </is>
      </c>
      <c r="C91" s="2" t="inlineStr">
        <is>
          <t>SOT Muro de contencion de 30cm</t>
        </is>
      </c>
      <c r="D91" s="3" t="n">
        <v>0.3</v>
      </c>
      <c r="E91" s="2" t="n"/>
      <c r="F91" s="2" t="n"/>
      <c r="G91" s="2" t="n"/>
      <c r="H91" s="4" t="n">
        <v>12.28980573679238</v>
      </c>
      <c r="I91" s="2" t="inlineStr">
        <is>
          <t>m</t>
        </is>
      </c>
      <c r="J91" s="2" t="n"/>
      <c r="K91" s="2" t="n"/>
      <c r="L91" s="4">
        <f>IF(J91="","",H91*J91)</f>
        <v/>
      </c>
      <c r="M91" s="2" t="inlineStr">
        <is>
          <t>m²</t>
        </is>
      </c>
      <c r="N91" s="2" t="inlineStr">
        <is>
          <t>8648C</t>
        </is>
      </c>
      <c r="O91" s="4" t="n">
        <v>7.396212523170054</v>
      </c>
      <c r="P91" s="4" t="n">
        <v>-5.908950201764181</v>
      </c>
      <c r="Q91" s="4" t="n">
        <v>12.12680331149611</v>
      </c>
      <c r="R91" s="4" t="n">
        <v>5.433925793392406</v>
      </c>
      <c r="S91" s="2" t="inlineStr">
        <is>
          <t>doble hilada (0.150 m entre centros)</t>
        </is>
      </c>
    </row>
    <row r="92">
      <c r="A92" s="2" t="inlineStr">
        <is>
          <t>M-041</t>
        </is>
      </c>
      <c r="B92" s="2" t="inlineStr">
        <is>
          <t>Muro</t>
        </is>
      </c>
      <c r="C92" s="2" t="inlineStr">
        <is>
          <t>SOT Muro de contencion de 30cm</t>
        </is>
      </c>
      <c r="D92" s="3" t="n">
        <v>0.3</v>
      </c>
      <c r="E92" s="2" t="n"/>
      <c r="F92" s="2" t="n"/>
      <c r="G92" s="2" t="n"/>
      <c r="H92" s="4" t="n">
        <v>2.300060825461458</v>
      </c>
      <c r="I92" s="2" t="inlineStr">
        <is>
          <t>m</t>
        </is>
      </c>
      <c r="J92" s="2" t="n"/>
      <c r="K92" s="2" t="n"/>
      <c r="L92" s="4">
        <f>IF(J92="","",H92*J92)</f>
        <v/>
      </c>
      <c r="M92" s="2" t="inlineStr">
        <is>
          <t>m²</t>
        </is>
      </c>
      <c r="N92" s="2" t="inlineStr">
        <is>
          <t>86494</t>
        </is>
      </c>
      <c r="O92" s="4" t="n">
        <v>-18.04070495138984</v>
      </c>
      <c r="P92" s="4" t="n">
        <v>-16.93381887564007</v>
      </c>
      <c r="Q92" s="4" t="n">
        <v>-17.48737045330019</v>
      </c>
      <c r="R92" s="4" t="n">
        <v>-14.70130891282998</v>
      </c>
      <c r="S92" s="2" t="inlineStr">
        <is>
          <t>doble hilada (0.150 m entre centros)</t>
        </is>
      </c>
    </row>
    <row r="93">
      <c r="A93" s="2" t="inlineStr">
        <is>
          <t>M-042</t>
        </is>
      </c>
      <c r="B93" s="2" t="inlineStr">
        <is>
          <t>Muro</t>
        </is>
      </c>
      <c r="C93" s="2" t="inlineStr">
        <is>
          <t>SOT Muro de contencion de 30cm</t>
        </is>
      </c>
      <c r="D93" s="3" t="n">
        <v>0.3</v>
      </c>
      <c r="E93" s="2" t="n"/>
      <c r="F93" s="2" t="n"/>
      <c r="G93" s="2" t="n"/>
      <c r="H93" s="4" t="n">
        <v>0.6599562541214929</v>
      </c>
      <c r="I93" s="2" t="inlineStr">
        <is>
          <t>m</t>
        </is>
      </c>
      <c r="J93" s="2" t="n"/>
      <c r="K93" s="2" t="n"/>
      <c r="L93" s="4">
        <f>IF(J93="","",H93*J93)</f>
        <v/>
      </c>
      <c r="M93" s="2" t="inlineStr">
        <is>
          <t>m²</t>
        </is>
      </c>
      <c r="N93" s="2" t="inlineStr">
        <is>
          <t>8649C</t>
        </is>
      </c>
      <c r="O93" s="4" t="n">
        <v>1.738985000458428</v>
      </c>
      <c r="P93" s="4" t="n">
        <v>7.875204547540566</v>
      </c>
      <c r="Q93" s="4" t="n">
        <v>1.738985000458428</v>
      </c>
      <c r="R93" s="4" t="n">
        <v>8.535160801662059</v>
      </c>
      <c r="S93" s="2" t="inlineStr">
        <is>
          <t>doble hilada (0.150 m entre centros)</t>
        </is>
      </c>
    </row>
    <row r="94">
      <c r="A94" s="2" t="inlineStr">
        <is>
          <t>M-043</t>
        </is>
      </c>
      <c r="B94" s="2" t="inlineStr">
        <is>
          <t>Muro</t>
        </is>
      </c>
      <c r="C94" s="2" t="inlineStr">
        <is>
          <t>SOT Muro de contencion de 30cm</t>
        </is>
      </c>
      <c r="D94" s="3" t="n">
        <v>0.3</v>
      </c>
      <c r="E94" s="2" t="n"/>
      <c r="F94" s="2" t="n"/>
      <c r="G94" s="2" t="n"/>
      <c r="H94" s="4" t="n">
        <v>1.850000000016015</v>
      </c>
      <c r="I94" s="2" t="inlineStr">
        <is>
          <t>m</t>
        </is>
      </c>
      <c r="J94" s="2" t="n"/>
      <c r="K94" s="2" t="n"/>
      <c r="L94" s="4">
        <f>IF(J94="","",H94*J94)</f>
        <v/>
      </c>
      <c r="M94" s="2" t="inlineStr">
        <is>
          <t>m²</t>
        </is>
      </c>
      <c r="N94" s="2" t="inlineStr">
        <is>
          <t>864A4</t>
        </is>
      </c>
      <c r="O94" s="4" t="n">
        <v>2.139118154415567</v>
      </c>
      <c r="P94" s="4" t="n">
        <v>-4.095677252003737</v>
      </c>
      <c r="Q94" s="4" t="n">
        <v>3.84657562234619</v>
      </c>
      <c r="R94" s="4" t="n">
        <v>-4.807779067243105</v>
      </c>
      <c r="S94" s="2" t="inlineStr">
        <is>
          <t>doble hilada (0.150 m entre centros)</t>
        </is>
      </c>
    </row>
    <row r="95">
      <c r="A95" s="2" t="inlineStr">
        <is>
          <t>M-044</t>
        </is>
      </c>
      <c r="B95" s="2" t="inlineStr">
        <is>
          <t>Muro</t>
        </is>
      </c>
      <c r="C95" s="2" t="inlineStr">
        <is>
          <t>SOT Muro de contencion de 30cm</t>
        </is>
      </c>
      <c r="D95" s="3" t="n">
        <v>0.3</v>
      </c>
      <c r="E95" s="2" t="n"/>
      <c r="F95" s="2" t="n"/>
      <c r="G95" s="2" t="n"/>
      <c r="H95" s="4" t="n">
        <v>3.412361265729696</v>
      </c>
      <c r="I95" s="2" t="inlineStr">
        <is>
          <t>m</t>
        </is>
      </c>
      <c r="J95" s="2" t="n"/>
      <c r="K95" s="2" t="n"/>
      <c r="L95" s="4">
        <f>IF(J95="","",H95*J95)</f>
        <v/>
      </c>
      <c r="M95" s="2" t="inlineStr">
        <is>
          <t>m²</t>
        </is>
      </c>
      <c r="N95" s="2" t="inlineStr">
        <is>
          <t>864AC</t>
        </is>
      </c>
      <c r="O95" s="4" t="n">
        <v>2.130595920385026</v>
      </c>
      <c r="P95" s="4" t="n">
        <v>7.217054986798182</v>
      </c>
      <c r="Q95" s="4" t="n">
        <v>5.280034691410389</v>
      </c>
      <c r="R95" s="4" t="n">
        <v>5.903569229199484</v>
      </c>
      <c r="S95" s="2" t="inlineStr">
        <is>
          <t>doble hilada (0.150 m entre centros)</t>
        </is>
      </c>
    </row>
    <row r="96">
      <c r="A96" s="2" t="inlineStr">
        <is>
          <t>M-045</t>
        </is>
      </c>
      <c r="B96" s="2" t="inlineStr">
        <is>
          <t>Muro</t>
        </is>
      </c>
      <c r="C96" s="2" t="inlineStr">
        <is>
          <t>SOT Muro de contencion de 30cm</t>
        </is>
      </c>
      <c r="D96" s="3" t="n">
        <v>0.3</v>
      </c>
      <c r="E96" s="2" t="n"/>
      <c r="F96" s="2" t="n"/>
      <c r="G96" s="2" t="n"/>
      <c r="H96" s="4" t="n">
        <v>0.4500000004944562</v>
      </c>
      <c r="I96" s="2" t="inlineStr">
        <is>
          <t>m</t>
        </is>
      </c>
      <c r="J96" s="2" t="n"/>
      <c r="K96" s="2" t="n"/>
      <c r="L96" s="4">
        <f>IF(J96="","",H96*J96)</f>
        <v/>
      </c>
      <c r="M96" s="2" t="inlineStr">
        <is>
          <t>m²</t>
        </is>
      </c>
      <c r="N96" s="2" t="inlineStr">
        <is>
          <t>864B4</t>
        </is>
      </c>
      <c r="O96" s="4" t="n">
        <v>5.869260235837621</v>
      </c>
      <c r="P96" s="4" t="n">
        <v>5.887528765747183</v>
      </c>
      <c r="Q96" s="4" t="n">
        <v>6.284587728489725</v>
      </c>
      <c r="R96" s="4" t="n">
        <v>5.714314810500131</v>
      </c>
      <c r="S96" s="2" t="inlineStr">
        <is>
          <t>doble hilada (0.150 m entre centros)</t>
        </is>
      </c>
    </row>
    <row r="97">
      <c r="A97" s="2" t="inlineStr">
        <is>
          <t>M-046</t>
        </is>
      </c>
      <c r="B97" s="2" t="inlineStr">
        <is>
          <t>Muro</t>
        </is>
      </c>
      <c r="C97" s="2" t="inlineStr">
        <is>
          <t>SOT Muro de contencion de 30cm</t>
        </is>
      </c>
      <c r="D97" s="3" t="n">
        <v>0.3</v>
      </c>
      <c r="E97" s="2" t="n"/>
      <c r="F97" s="2" t="n"/>
      <c r="G97" s="2" t="n"/>
      <c r="H97" s="4" t="n">
        <v>0.4500000003700588</v>
      </c>
      <c r="I97" s="2" t="inlineStr">
        <is>
          <t>m</t>
        </is>
      </c>
      <c r="J97" s="2" t="n"/>
      <c r="K97" s="2" t="n"/>
      <c r="L97" s="4">
        <f>IF(J97="","",H97*J97)</f>
        <v/>
      </c>
      <c r="M97" s="2" t="inlineStr">
        <is>
          <t>m²</t>
        </is>
      </c>
      <c r="N97" s="2" t="inlineStr">
        <is>
          <t>864BC</t>
        </is>
      </c>
      <c r="O97" s="4" t="n">
        <v>10.6224527244379</v>
      </c>
      <c r="P97" s="4" t="n">
        <v>3.90519124760297</v>
      </c>
      <c r="Q97" s="4" t="n">
        <v>11.03778021697519</v>
      </c>
      <c r="R97" s="4" t="n">
        <v>3.731977292403802</v>
      </c>
      <c r="S97" s="2" t="inlineStr">
        <is>
          <t>doble hilada (0.150 m entre centros)</t>
        </is>
      </c>
    </row>
    <row r="98">
      <c r="A98" s="2" t="inlineStr">
        <is>
          <t>M-047</t>
        </is>
      </c>
      <c r="B98" s="2" t="inlineStr">
        <is>
          <t>Muro</t>
        </is>
      </c>
      <c r="C98" s="2" t="inlineStr">
        <is>
          <t>SOT Muro de contencion de 30cm</t>
        </is>
      </c>
      <c r="D98" s="3" t="n">
        <v>0.3</v>
      </c>
      <c r="E98" s="2" t="n"/>
      <c r="F98" s="2" t="n"/>
      <c r="G98" s="2" t="n"/>
      <c r="H98" s="4" t="n">
        <v>15.36674778958698</v>
      </c>
      <c r="I98" s="2" t="inlineStr">
        <is>
          <t>m</t>
        </is>
      </c>
      <c r="J98" s="2" t="n"/>
      <c r="K98" s="2" t="n"/>
      <c r="L98" s="4">
        <f>IF(J98="","",H98*J98)</f>
        <v/>
      </c>
      <c r="M98" s="2" t="inlineStr">
        <is>
          <t>m²</t>
        </is>
      </c>
      <c r="N98" s="2" t="inlineStr">
        <is>
          <t>864C4</t>
        </is>
      </c>
      <c r="O98" s="4" t="n">
        <v>-33.13782458179752</v>
      </c>
      <c r="P98" s="4" t="n">
        <v>-13.34648833393948</v>
      </c>
      <c r="Q98" s="4" t="n">
        <v>-18.22238565178808</v>
      </c>
      <c r="R98" s="4" t="n">
        <v>-17.04332740995227</v>
      </c>
      <c r="S98" s="2" t="inlineStr">
        <is>
          <t>doble hilada (0.150 m entre centros)</t>
        </is>
      </c>
    </row>
    <row r="99">
      <c r="A99" s="2" t="inlineStr">
        <is>
          <t>M-048</t>
        </is>
      </c>
      <c r="B99" s="2" t="inlineStr">
        <is>
          <t>Muro</t>
        </is>
      </c>
      <c r="C99" s="2" t="inlineStr">
        <is>
          <t>SOT Muro de contencion de 30cm</t>
        </is>
      </c>
      <c r="D99" s="3" t="n">
        <v>0.3</v>
      </c>
      <c r="E99" s="2" t="n"/>
      <c r="F99" s="2" t="n"/>
      <c r="G99" s="2" t="n"/>
      <c r="H99" s="4" t="n">
        <v>9.004915962153049</v>
      </c>
      <c r="I99" s="2" t="inlineStr">
        <is>
          <t>m</t>
        </is>
      </c>
      <c r="J99" s="2" t="n"/>
      <c r="K99" s="2" t="n"/>
      <c r="L99" s="4">
        <f>IF(J99="","",H99*J99)</f>
        <v/>
      </c>
      <c r="M99" s="2" t="inlineStr">
        <is>
          <t>m²</t>
        </is>
      </c>
      <c r="N99" s="2" t="inlineStr">
        <is>
          <t>864CC</t>
        </is>
      </c>
      <c r="O99" s="4" t="n">
        <v>-29.5928011036825</v>
      </c>
      <c r="P99" s="4" t="n">
        <v>-8.21589243324868</v>
      </c>
      <c r="Q99" s="4" t="n">
        <v>-20.85235218485692</v>
      </c>
      <c r="R99" s="4" t="n">
        <v>-10.38224055459007</v>
      </c>
      <c r="S99" s="2" t="inlineStr">
        <is>
          <t>doble hilada (0.150 m entre centros)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2" customWidth="1" min="3" max="3"/>
    <col width="9" customWidth="1" min="4" max="4"/>
    <col width="12" customWidth="1" min="5" max="5"/>
    <col width="9" customWidth="1" min="6" max="6"/>
    <col width="12" customWidth="1" min="7" max="7"/>
    <col width="9" customWidth="1" min="8" max="8"/>
  </cols>
  <sheetData>
    <row r="1">
      <c r="A1" s="1" t="inlineStr">
        <is>
          <t>Elemento</t>
        </is>
      </c>
      <c r="B1" s="1" t="inlineStr">
        <is>
          <t>Capa</t>
        </is>
      </c>
      <c r="C1" s="1" t="inlineStr">
        <is>
          <t>Cantidad de objetos</t>
        </is>
      </c>
      <c r="D1" s="1" t="inlineStr">
        <is>
          <t>Unidad cantidad</t>
        </is>
      </c>
      <c r="E1" s="1" t="inlineStr">
        <is>
          <t>Longitud</t>
        </is>
      </c>
      <c r="F1" s="1" t="inlineStr">
        <is>
          <t>Unidad longitud</t>
        </is>
      </c>
      <c r="G1" s="1" t="inlineStr">
        <is>
          <t>Área</t>
        </is>
      </c>
      <c r="H1" s="1" t="inlineStr">
        <is>
          <t>Unidad área</t>
        </is>
      </c>
    </row>
    <row r="2">
      <c r="A2" s="2" t="inlineStr">
        <is>
          <t>Cimiento corrido</t>
        </is>
      </c>
      <c r="B2" s="2" t="inlineStr">
        <is>
          <t>Cimiento corrido CC1 de 0.70 x 0.25 m</t>
        </is>
      </c>
      <c r="C2" s="2">
        <f>COUNTIFS(DATOS!$B$2:$B$99,A2,DATOS!$C$2:$C$99,B2)</f>
        <v/>
      </c>
      <c r="D2" s="2" t="inlineStr">
        <is>
          <t>u</t>
        </is>
      </c>
      <c r="E2" s="4">
        <f>SUMIFS(DATOS!$H$2:$H$99,DATOS!$B$2:$B$99,A2,DATOS!$C$2:$C$99,B2)</f>
        <v/>
      </c>
      <c r="F2" s="2" t="inlineStr">
        <is>
          <t>m</t>
        </is>
      </c>
      <c r="G2" s="2" t="n"/>
      <c r="H2" s="2" t="n"/>
    </row>
    <row r="3">
      <c r="A3" s="2" t="inlineStr">
        <is>
          <t>Cimiento corrido</t>
        </is>
      </c>
      <c r="B3" s="2" t="inlineStr">
        <is>
          <t>Cimiento corrido CC1 de 0.70 x 0.25 m (dentro de zapata)</t>
        </is>
      </c>
      <c r="C3" s="2">
        <f>COUNTIFS(DATOS!$B$2:$B$99,A3,DATOS!$C$2:$C$99,B3)</f>
        <v/>
      </c>
      <c r="D3" s="2" t="inlineStr">
        <is>
          <t>u</t>
        </is>
      </c>
      <c r="E3" s="4">
        <f>SUMIFS(DATOS!$H$2:$H$99,DATOS!$B$2:$B$99,A3,DATOS!$C$2:$C$99,B3)</f>
        <v/>
      </c>
      <c r="F3" s="2" t="inlineStr">
        <is>
          <t>m</t>
        </is>
      </c>
      <c r="G3" s="2" t="n"/>
      <c r="H3" s="2" t="n"/>
    </row>
    <row r="4">
      <c r="A4" s="2" t="inlineStr">
        <is>
          <t>Cimiento corrido</t>
        </is>
      </c>
      <c r="B4" s="2" t="inlineStr">
        <is>
          <t>Cimiento corrido MC1 de 1.00 x 0.30 m</t>
        </is>
      </c>
      <c r="C4" s="2">
        <f>COUNTIFS(DATOS!$B$2:$B$99,A4,DATOS!$C$2:$C$99,B4)</f>
        <v/>
      </c>
      <c r="D4" s="2" t="inlineStr">
        <is>
          <t>u</t>
        </is>
      </c>
      <c r="E4" s="4">
        <f>SUMIFS(DATOS!$H$2:$H$99,DATOS!$B$2:$B$99,A4,DATOS!$C$2:$C$99,B4)</f>
        <v/>
      </c>
      <c r="F4" s="2" t="inlineStr">
        <is>
          <t>m</t>
        </is>
      </c>
      <c r="G4" s="2" t="n"/>
      <c r="H4" s="2" t="n"/>
    </row>
    <row r="5">
      <c r="A5" s="2" t="inlineStr">
        <is>
          <t>Cimiento corrido</t>
        </is>
      </c>
      <c r="B5" s="2" t="inlineStr">
        <is>
          <t>Cimiento corrido MC1 de 1.00 x 0.30 m (dentro de zapata)</t>
        </is>
      </c>
      <c r="C5" s="2">
        <f>COUNTIFS(DATOS!$B$2:$B$99,A5,DATOS!$C$2:$C$99,B5)</f>
        <v/>
      </c>
      <c r="D5" s="2" t="inlineStr">
        <is>
          <t>u</t>
        </is>
      </c>
      <c r="E5" s="4">
        <f>SUMIFS(DATOS!$H$2:$H$99,DATOS!$B$2:$B$99,A5,DATOS!$C$2:$C$99,B5)</f>
        <v/>
      </c>
      <c r="F5" s="2" t="inlineStr">
        <is>
          <t>m</t>
        </is>
      </c>
      <c r="G5" s="2" t="n"/>
      <c r="H5" s="2" t="n"/>
    </row>
    <row r="6">
      <c r="A6" s="2" t="inlineStr">
        <is>
          <t>Muro</t>
        </is>
      </c>
      <c r="B6" s="2" t="inlineStr">
        <is>
          <t>SOT Muro de 10cm</t>
        </is>
      </c>
      <c r="C6" s="2">
        <f>COUNTIFS(DATOS!$B$2:$B$99,A6,DATOS!$C$2:$C$99,B6)</f>
        <v/>
      </c>
      <c r="D6" s="2" t="inlineStr">
        <is>
          <t>u</t>
        </is>
      </c>
      <c r="E6" s="4">
        <f>SUMIFS(DATOS!$H$2:$H$99,DATOS!$B$2:$B$99,A6,DATOS!$C$2:$C$99,B6)</f>
        <v/>
      </c>
      <c r="F6" s="2" t="inlineStr">
        <is>
          <t>m</t>
        </is>
      </c>
      <c r="G6" s="4">
        <f>SUMIFS(DATOS!$L$2:$L$99,DATOS!$B$2:$B$99,A6,DATOS!$C$2:$C$99,B6)</f>
        <v/>
      </c>
      <c r="H6" s="2" t="inlineStr">
        <is>
          <t>m²</t>
        </is>
      </c>
    </row>
    <row r="7">
      <c r="A7" s="2" t="inlineStr">
        <is>
          <t>Muro</t>
        </is>
      </c>
      <c r="B7" s="2" t="inlineStr">
        <is>
          <t>SOT Muro de 15cm</t>
        </is>
      </c>
      <c r="C7" s="2">
        <f>COUNTIFS(DATOS!$B$2:$B$99,A7,DATOS!$C$2:$C$99,B7)</f>
        <v/>
      </c>
      <c r="D7" s="2" t="inlineStr">
        <is>
          <t>u</t>
        </is>
      </c>
      <c r="E7" s="4">
        <f>SUMIFS(DATOS!$H$2:$H$99,DATOS!$B$2:$B$99,A7,DATOS!$C$2:$C$99,B7)</f>
        <v/>
      </c>
      <c r="F7" s="2" t="inlineStr">
        <is>
          <t>m</t>
        </is>
      </c>
      <c r="G7" s="4">
        <f>SUMIFS(DATOS!$L$2:$L$99,DATOS!$B$2:$B$99,A7,DATOS!$C$2:$C$99,B7)</f>
        <v/>
      </c>
      <c r="H7" s="2" t="inlineStr">
        <is>
          <t>m²</t>
        </is>
      </c>
    </row>
    <row r="8">
      <c r="A8" s="2" t="inlineStr">
        <is>
          <t>Muro</t>
        </is>
      </c>
      <c r="B8" s="2" t="inlineStr">
        <is>
          <t>SOT Muro de 20cm</t>
        </is>
      </c>
      <c r="C8" s="2">
        <f>COUNTIFS(DATOS!$B$2:$B$99,A8,DATOS!$C$2:$C$99,B8)</f>
        <v/>
      </c>
      <c r="D8" s="2" t="inlineStr">
        <is>
          <t>u</t>
        </is>
      </c>
      <c r="E8" s="4">
        <f>SUMIFS(DATOS!$H$2:$H$99,DATOS!$B$2:$B$99,A8,DATOS!$C$2:$C$99,B8)</f>
        <v/>
      </c>
      <c r="F8" s="2" t="inlineStr">
        <is>
          <t>m</t>
        </is>
      </c>
      <c r="G8" s="4">
        <f>SUMIFS(DATOS!$L$2:$L$99,DATOS!$B$2:$B$99,A8,DATOS!$C$2:$C$99,B8)</f>
        <v/>
      </c>
      <c r="H8" s="2" t="inlineStr">
        <is>
          <t>m²</t>
        </is>
      </c>
    </row>
    <row r="9">
      <c r="A9" s="2" t="inlineStr">
        <is>
          <t>Muro</t>
        </is>
      </c>
      <c r="B9" s="2" t="inlineStr">
        <is>
          <t>SOT Muro de contencion de 30cm</t>
        </is>
      </c>
      <c r="C9" s="2">
        <f>COUNTIFS(DATOS!$B$2:$B$99,A9,DATOS!$C$2:$C$99,B9)</f>
        <v/>
      </c>
      <c r="D9" s="2" t="inlineStr">
        <is>
          <t>u</t>
        </is>
      </c>
      <c r="E9" s="4">
        <f>SUMIFS(DATOS!$H$2:$H$99,DATOS!$B$2:$B$99,A9,DATOS!$C$2:$C$99,B9)</f>
        <v/>
      </c>
      <c r="F9" s="2" t="inlineStr">
        <is>
          <t>m</t>
        </is>
      </c>
      <c r="G9" s="4">
        <f>SUMIFS(DATOS!$L$2:$L$99,DATOS!$B$2:$B$99,A9,DATOS!$C$2:$C$99,B9)</f>
        <v/>
      </c>
      <c r="H9" s="2" t="inlineStr">
        <is>
          <t>m²</t>
        </is>
      </c>
    </row>
    <row r="10">
      <c r="A10" s="2" t="inlineStr">
        <is>
          <t>Vano puerta</t>
        </is>
      </c>
      <c r="B10" s="2" t="inlineStr">
        <is>
          <t>SOT Muro de 10cm - Vano puerta</t>
        </is>
      </c>
      <c r="C10" s="2">
        <f>COUNTIFS(DATOS!$B$2:$B$99,A10,DATOS!$C$2:$C$99,B10)</f>
        <v/>
      </c>
      <c r="D10" s="2" t="inlineStr">
        <is>
          <t>u</t>
        </is>
      </c>
      <c r="E10" s="4">
        <f>SUMIFS(DATOS!$H$2:$H$99,DATOS!$B$2:$B$99,A10,DATOS!$C$2:$C$99,B10)</f>
        <v/>
      </c>
      <c r="F10" s="2" t="inlineStr">
        <is>
          <t>m</t>
        </is>
      </c>
      <c r="G10" s="2" t="n"/>
      <c r="H10" s="2" t="n"/>
    </row>
    <row r="11">
      <c r="A11" s="2" t="inlineStr">
        <is>
          <t>Vano puerta</t>
        </is>
      </c>
      <c r="B11" s="2" t="inlineStr">
        <is>
          <t>SOT Muro de 15cm - Vano puerta</t>
        </is>
      </c>
      <c r="C11" s="2">
        <f>COUNTIFS(DATOS!$B$2:$B$99,A11,DATOS!$C$2:$C$99,B11)</f>
        <v/>
      </c>
      <c r="D11" s="2" t="inlineStr">
        <is>
          <t>u</t>
        </is>
      </c>
      <c r="E11" s="4">
        <f>SUMIFS(DATOS!$H$2:$H$99,DATOS!$B$2:$B$99,A11,DATOS!$C$2:$C$99,B11)</f>
        <v/>
      </c>
      <c r="F11" s="2" t="inlineStr">
        <is>
          <t>m</t>
        </is>
      </c>
      <c r="G11" s="2" t="n"/>
      <c r="H11" s="2" t="n"/>
    </row>
    <row r="12">
      <c r="A12" s="2" t="inlineStr">
        <is>
          <t>Vano puerta</t>
        </is>
      </c>
      <c r="B12" s="2" t="inlineStr">
        <is>
          <t>SOT Muro de 20cm - Vano puerta</t>
        </is>
      </c>
      <c r="C12" s="2">
        <f>COUNTIFS(DATOS!$B$2:$B$99,A12,DATOS!$C$2:$C$99,B12)</f>
        <v/>
      </c>
      <c r="D12" s="2" t="inlineStr">
        <is>
          <t>u</t>
        </is>
      </c>
      <c r="E12" s="4">
        <f>SUMIFS(DATOS!$H$2:$H$99,DATOS!$B$2:$B$99,A12,DATOS!$C$2:$C$99,B12)</f>
        <v/>
      </c>
      <c r="F12" s="2" t="inlineStr">
        <is>
          <t>m</t>
        </is>
      </c>
      <c r="G12" s="2" t="n"/>
      <c r="H12" s="2" t="n"/>
    </row>
    <row r="14">
      <c r="A14" s="5" t="inlineStr">
        <is>
          <t>Total Cimiento corrido</t>
        </is>
      </c>
      <c r="B14" s="5" t="inlineStr">
        <is>
          <t>(todas las capas)</t>
        </is>
      </c>
      <c r="C14" s="5">
        <f>COUNTIFS(DATOS!$B$2:$B$99,"Cimiento corrido")</f>
        <v/>
      </c>
      <c r="D14" s="5" t="inlineStr">
        <is>
          <t>u</t>
        </is>
      </c>
      <c r="E14" s="6">
        <f>SUMIFS(DATOS!$H$2:$H$99,DATOS!$B$2:$B$99,"Cimiento corrido")</f>
        <v/>
      </c>
      <c r="F14" s="5" t="inlineStr">
        <is>
          <t>m</t>
        </is>
      </c>
      <c r="G14" s="5" t="n"/>
      <c r="H14" s="5" t="n"/>
    </row>
    <row r="15">
      <c r="A15" s="5" t="inlineStr">
        <is>
          <t>Total Muro</t>
        </is>
      </c>
      <c r="B15" s="5" t="inlineStr">
        <is>
          <t>(todas las capas)</t>
        </is>
      </c>
      <c r="C15" s="5">
        <f>COUNTIFS(DATOS!$B$2:$B$99,"Muro")</f>
        <v/>
      </c>
      <c r="D15" s="5" t="inlineStr">
        <is>
          <t>u</t>
        </is>
      </c>
      <c r="E15" s="6">
        <f>SUMIFS(DATOS!$H$2:$H$99,DATOS!$B$2:$B$99,"Muro")</f>
        <v/>
      </c>
      <c r="F15" s="5" t="inlineStr">
        <is>
          <t>m</t>
        </is>
      </c>
      <c r="G15" s="6">
        <f>SUMIFS(DATOS!$L$2:$L$99,DATOS!$B$2:$B$99,"Muro")</f>
        <v/>
      </c>
      <c r="H15" s="5" t="inlineStr">
        <is>
          <t>m²</t>
        </is>
      </c>
    </row>
    <row r="16">
      <c r="A16" s="5" t="inlineStr">
        <is>
          <t>Total Vano puerta</t>
        </is>
      </c>
      <c r="B16" s="5" t="inlineStr">
        <is>
          <t>(todas las capas)</t>
        </is>
      </c>
      <c r="C16" s="5">
        <f>COUNTIFS(DATOS!$B$2:$B$99,"Vano puerta")</f>
        <v/>
      </c>
      <c r="D16" s="5" t="inlineStr">
        <is>
          <t>u</t>
        </is>
      </c>
      <c r="E16" s="6">
        <f>SUMIFS(DATOS!$H$2:$H$99,DATOS!$B$2:$B$99,"Vano puerta")</f>
        <v/>
      </c>
      <c r="F16" s="5" t="inlineStr">
        <is>
          <t>m</t>
        </is>
      </c>
      <c r="G16" s="5" t="n"/>
      <c r="H16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2" customWidth="1" min="4" max="4"/>
    <col width="30" customWidth="1" min="5" max="5"/>
    <col width="70" customWidth="1" min="6" max="6"/>
    <col width="24" customWidth="1" min="8" max="8"/>
  </cols>
  <sheetData>
    <row r="1">
      <c r="A1" s="1" t="inlineStr">
        <is>
          <t>Marca</t>
        </is>
      </c>
      <c r="B1" s="1" t="inlineStr">
        <is>
          <t>Motivo</t>
        </is>
      </c>
      <c r="C1" s="1" t="inlineStr">
        <is>
          <t>X (m)</t>
        </is>
      </c>
      <c r="D1" s="1" t="inlineStr">
        <is>
          <t>Y (m)</t>
        </is>
      </c>
      <c r="E1" s="1" t="inlineStr">
        <is>
          <t>Handles de origen</t>
        </is>
      </c>
      <c r="F1" s="1" t="inlineStr">
        <is>
          <t>Detalle</t>
        </is>
      </c>
      <c r="H1" s="1" t="inlineStr">
        <is>
          <t>Motivo</t>
        </is>
      </c>
      <c r="I1" s="1" t="inlineStr">
        <is>
          <t>Marcas</t>
        </is>
      </c>
    </row>
    <row r="2">
      <c r="A2" s="2" t="inlineStr">
        <is>
          <t>R001</t>
        </is>
      </c>
      <c r="B2" s="2" t="inlineStr">
        <is>
          <t>hueco no clasificado</t>
        </is>
      </c>
      <c r="C2" s="4" t="n">
        <v>-16.44185876411912</v>
      </c>
      <c r="D2" s="4" t="n">
        <v>-13.18456499829655</v>
      </c>
      <c r="E2" s="2" t="inlineStr"/>
      <c r="F2" s="2" t="inlineStr">
        <is>
          <t>claro libre de 0.600 m entre ejes colineales de 0.15 m (&gt; unión 0.25 y &lt; vano 0.7)</t>
        </is>
      </c>
      <c r="H2" s="2" t="inlineStr">
        <is>
          <t>cimiento sin etiqueta</t>
        </is>
      </c>
      <c r="I2" s="2">
        <f>COUNTIF($B$2:$B$43,H2)</f>
        <v/>
      </c>
    </row>
    <row r="3">
      <c r="A3" s="2" t="inlineStr">
        <is>
          <t>R002</t>
        </is>
      </c>
      <c r="B3" s="2" t="inlineStr">
        <is>
          <t>hueco no clasificado</t>
        </is>
      </c>
      <c r="C3" s="4" t="n">
        <v>-15.65659695339987</v>
      </c>
      <c r="D3" s="4" t="n">
        <v>-12.00259496710838</v>
      </c>
      <c r="E3" s="2" t="inlineStr"/>
      <c r="F3" s="2" t="inlineStr">
        <is>
          <t>claro libre de 0.300 m entre ejes colineales de 0.15 m (&gt; unión 0.25 y &lt; vano 0.7)</t>
        </is>
      </c>
      <c r="H3" s="2" t="inlineStr">
        <is>
          <t>esquina en L sin mocheta</t>
        </is>
      </c>
      <c r="I3" s="2">
        <f>COUNTIF($B$2:$B$43,H3)</f>
        <v/>
      </c>
    </row>
    <row r="4">
      <c r="A4" s="2" t="inlineStr">
        <is>
          <t>R003</t>
        </is>
      </c>
      <c r="B4" s="2" t="inlineStr">
        <is>
          <t>hueco no clasificado</t>
        </is>
      </c>
      <c r="C4" s="4" t="n">
        <v>-14.24223117651136</v>
      </c>
      <c r="D4" s="4" t="n">
        <v>-9.873702489974955</v>
      </c>
      <c r="E4" s="2" t="inlineStr"/>
      <c r="F4" s="2" t="inlineStr">
        <is>
          <t>claro libre de 0.500 m entre ejes colineales de 0.15 m (&gt; unión 0.25 y &lt; vano 0.7)</t>
        </is>
      </c>
      <c r="H4" s="2" t="inlineStr">
        <is>
          <t>etiqueta sin tramo de su tipo</t>
        </is>
      </c>
      <c r="I4" s="2">
        <f>COUNTIF($B$2:$B$43,H4)</f>
        <v/>
      </c>
    </row>
    <row r="5">
      <c r="A5" s="2" t="inlineStr">
        <is>
          <t>R004</t>
        </is>
      </c>
      <c r="B5" s="2" t="inlineStr">
        <is>
          <t>hueco no clasificado</t>
        </is>
      </c>
      <c r="C5" s="4" t="n">
        <v>-16.56705921988362</v>
      </c>
      <c r="D5" s="4" t="n">
        <v>-13.10140571191239</v>
      </c>
      <c r="E5" s="2" t="inlineStr"/>
      <c r="F5" s="2" t="inlineStr">
        <is>
          <t>claro libre de 0.600 m entre ejes colineales de 0.15 m (&gt; unión 0.25 y &lt; vano 0.7)</t>
        </is>
      </c>
      <c r="H5" s="2" t="inlineStr">
        <is>
          <t>etiquetas de tipos distintos</t>
        </is>
      </c>
      <c r="I5" s="2">
        <f>COUNTIF($B$2:$B$43,H5)</f>
        <v/>
      </c>
    </row>
    <row r="6">
      <c r="A6" s="2" t="inlineStr">
        <is>
          <t>R005</t>
        </is>
      </c>
      <c r="B6" s="2" t="inlineStr">
        <is>
          <t>hueco no clasificado</t>
        </is>
      </c>
      <c r="C6" s="4" t="n">
        <v>-15.78182910248943</v>
      </c>
      <c r="D6" s="4" t="n">
        <v>-11.91948338527308</v>
      </c>
      <c r="E6" s="2" t="inlineStr"/>
      <c r="F6" s="2" t="inlineStr">
        <is>
          <t>claro libre de 0.300 m entre ejes colineales de 0.15 m (&gt; unión 0.25 y &lt; vano 0.7)</t>
        </is>
      </c>
      <c r="H6" s="2" t="inlineStr">
        <is>
          <t>hueco no clasificado</t>
        </is>
      </c>
      <c r="I6" s="2">
        <f>COUNTIF($B$2:$B$43,H6)</f>
        <v/>
      </c>
    </row>
    <row r="7">
      <c r="A7" s="2" t="inlineStr">
        <is>
          <t>R006</t>
        </is>
      </c>
      <c r="B7" s="2" t="inlineStr">
        <is>
          <t>hueco no clasificado</t>
        </is>
      </c>
      <c r="C7" s="4" t="n">
        <v>-14.36743218680486</v>
      </c>
      <c r="D7" s="4" t="n">
        <v>-9.790544038263594</v>
      </c>
      <c r="E7" s="2" t="inlineStr"/>
      <c r="F7" s="2" t="inlineStr">
        <is>
          <t>claro libre de 0.500 m entre ejes colineales de 0.15 m (&gt; unión 0.25 y &lt; vano 0.7)</t>
        </is>
      </c>
    </row>
    <row r="8">
      <c r="A8" s="2" t="inlineStr">
        <is>
          <t>R007</t>
        </is>
      </c>
      <c r="B8" s="2" t="inlineStr">
        <is>
          <t>hueco no clasificado</t>
        </is>
      </c>
      <c r="C8" s="4" t="n">
        <v>-12.51527983578971</v>
      </c>
      <c r="D8" s="4" t="n">
        <v>-7.002698580594569</v>
      </c>
      <c r="E8" s="2" t="inlineStr"/>
      <c r="F8" s="2" t="inlineStr">
        <is>
          <t>claro libre de 0.594 m entre ejes colineales de 0.15 m (&gt; unión 0.25 y &lt; vano 0.7)</t>
        </is>
      </c>
    </row>
    <row r="9">
      <c r="A9" s="2" t="inlineStr">
        <is>
          <t>R008</t>
        </is>
      </c>
      <c r="B9" s="2" t="inlineStr">
        <is>
          <t>hueco no clasificado</t>
        </is>
      </c>
      <c r="C9" s="4" t="n">
        <v>-27.16736267992303</v>
      </c>
      <c r="D9" s="4" t="n">
        <v>-8.894314471839504</v>
      </c>
      <c r="E9" s="2" t="inlineStr"/>
      <c r="F9" s="2" t="inlineStr">
        <is>
          <t>claro libre de 0.605 m entre ejes colineales de 0.15 m (&gt; unión 0.25 y &lt; vano 0.7)</t>
        </is>
      </c>
    </row>
    <row r="10">
      <c r="A10" s="2" t="inlineStr">
        <is>
          <t>R009</t>
        </is>
      </c>
      <c r="B10" s="2" t="inlineStr">
        <is>
          <t>hueco no clasificado</t>
        </is>
      </c>
      <c r="C10" s="4" t="n">
        <v>-27.13127659220244</v>
      </c>
      <c r="D10" s="4" t="n">
        <v>-8.748719807972067</v>
      </c>
      <c r="E10" s="2" t="inlineStr"/>
      <c r="F10" s="2" t="inlineStr">
        <is>
          <t>claro libre de 0.605 m entre ejes colineales de 0.15 m (&gt; unión 0.25 y &lt; vano 0.7)</t>
        </is>
      </c>
    </row>
    <row r="11">
      <c r="A11" s="2" t="inlineStr">
        <is>
          <t>R010</t>
        </is>
      </c>
      <c r="B11" s="2" t="inlineStr">
        <is>
          <t>hueco no clasificado</t>
        </is>
      </c>
      <c r="C11" s="4" t="n">
        <v>-11.43050701711501</v>
      </c>
      <c r="D11" s="4" t="n">
        <v>7.811075639026416</v>
      </c>
      <c r="E11" s="2" t="inlineStr"/>
      <c r="F11" s="2" t="inlineStr">
        <is>
          <t>claro libre de 0.361 m entre ejes colineales de 0.15 m (&gt; unión 0.25 y &lt; vano 0.7)</t>
        </is>
      </c>
    </row>
    <row r="12">
      <c r="A12" s="2" t="inlineStr">
        <is>
          <t>R011</t>
        </is>
      </c>
      <c r="B12" s="2" t="inlineStr">
        <is>
          <t>hueco no clasificado</t>
        </is>
      </c>
      <c r="C12" s="4" t="n">
        <v>-7.930939322019238</v>
      </c>
      <c r="D12" s="4" t="n">
        <v>7.811075639026416</v>
      </c>
      <c r="E12" s="2" t="inlineStr"/>
      <c r="F12" s="2" t="inlineStr">
        <is>
          <t>claro libre de 0.362 m entre ejes colineales de 0.15 m (&gt; unión 0.25 y &lt; vano 0.7)</t>
        </is>
      </c>
    </row>
    <row r="13">
      <c r="A13" s="2" t="inlineStr">
        <is>
          <t>R012</t>
        </is>
      </c>
      <c r="B13" s="2" t="inlineStr">
        <is>
          <t>hueco no clasificado</t>
        </is>
      </c>
      <c r="C13" s="4" t="n">
        <v>-4.330939324294683</v>
      </c>
      <c r="D13" s="4" t="n">
        <v>7.811075639026414</v>
      </c>
      <c r="E13" s="2" t="inlineStr"/>
      <c r="F13" s="2" t="inlineStr">
        <is>
          <t>claro libre de 0.362 m entre ejes colineales de 0.15 m (&gt; unión 0.25 y &lt; vano 0.7)</t>
        </is>
      </c>
    </row>
    <row r="14">
      <c r="A14" s="2" t="inlineStr">
        <is>
          <t>R013</t>
        </is>
      </c>
      <c r="B14" s="2" t="inlineStr">
        <is>
          <t>hueco no clasificado</t>
        </is>
      </c>
      <c r="C14" s="4" t="n">
        <v>-2.59086215722023</v>
      </c>
      <c r="D14" s="4" t="n">
        <v>7.811075639026414</v>
      </c>
      <c r="E14" s="2" t="inlineStr"/>
      <c r="F14" s="2" t="inlineStr">
        <is>
          <t>claro libre de 0.362 m entre ejes colineales de 0.15 m (&gt; unión 0.25 y &lt; vano 0.7)</t>
        </is>
      </c>
    </row>
    <row r="15">
      <c r="A15" s="2" t="inlineStr">
        <is>
          <t>R014</t>
        </is>
      </c>
      <c r="B15" s="2" t="inlineStr">
        <is>
          <t>hueco no clasificado</t>
        </is>
      </c>
      <c r="C15" s="4" t="n">
        <v>-2.686794765167072</v>
      </c>
      <c r="D15" s="4" t="n">
        <v>-2.659534974322305</v>
      </c>
      <c r="E15" s="2" t="inlineStr"/>
      <c r="F15" s="2" t="inlineStr">
        <is>
          <t>claro libre de 0.600 m entre ejes colineales de 0.15 m (&gt; unión 0.25 y &lt; vano 0.7)</t>
        </is>
      </c>
    </row>
    <row r="16">
      <c r="A16" s="2" t="inlineStr">
        <is>
          <t>R015</t>
        </is>
      </c>
      <c r="B16" s="2" t="inlineStr">
        <is>
          <t>hueco no clasificado</t>
        </is>
      </c>
      <c r="C16" s="4" t="n">
        <v>-5.038180252492174</v>
      </c>
      <c r="D16" s="4" t="n">
        <v>-2.663742870666142</v>
      </c>
      <c r="E16" s="2" t="inlineStr"/>
      <c r="F16" s="2" t="inlineStr">
        <is>
          <t>claro libre de 0.300 m entre ejes colineales de 0.15 m (&gt; unión 0.25 y &lt; vano 0.7)</t>
        </is>
      </c>
    </row>
    <row r="17">
      <c r="A17" s="2" t="inlineStr">
        <is>
          <t>R016</t>
        </is>
      </c>
      <c r="B17" s="2" t="inlineStr">
        <is>
          <t>hueco no clasificado</t>
        </is>
      </c>
      <c r="C17" s="4" t="n">
        <v>-2.406784014012358</v>
      </c>
      <c r="D17" s="4" t="n">
        <v>-2.659306670566569</v>
      </c>
      <c r="E17" s="2" t="inlineStr"/>
      <c r="F17" s="2" t="inlineStr">
        <is>
          <t>claro libre de 0.652 m entre ejes colineales de 0.10 m (&gt; unión 0.25 y &lt; vano 0.7)</t>
        </is>
      </c>
    </row>
    <row r="18">
      <c r="A18" s="2" t="inlineStr">
        <is>
          <t>R017</t>
        </is>
      </c>
      <c r="B18" s="2" t="inlineStr">
        <is>
          <t>hueco no clasificado</t>
        </is>
      </c>
      <c r="C18" s="4" t="n">
        <v>5.461588252708886</v>
      </c>
      <c r="D18" s="4" t="n">
        <v>5.949201727636528</v>
      </c>
      <c r="E18" s="2" t="inlineStr"/>
      <c r="F18" s="2" t="inlineStr">
        <is>
          <t>claro libre de 0.500 m entre ejes colineales de 0.20 m (&gt; unión 0.25 y &lt; vano 0.7)</t>
        </is>
      </c>
    </row>
    <row r="19">
      <c r="A19" s="2" t="inlineStr">
        <is>
          <t>R018</t>
        </is>
      </c>
      <c r="B19" s="2" t="inlineStr">
        <is>
          <t>hueco no clasificado</t>
        </is>
      </c>
      <c r="C19" s="4" t="n">
        <v>8.716348671095108</v>
      </c>
      <c r="D19" s="4" t="n">
        <v>-2.938411040254982</v>
      </c>
      <c r="E19" s="2" t="inlineStr"/>
      <c r="F19" s="2" t="inlineStr">
        <is>
          <t>claro libre de 0.600 m entre ejes colineales de 0.15 m (&gt; unión 0.25 y &lt; vano 0.7)</t>
        </is>
      </c>
    </row>
    <row r="20">
      <c r="A20" s="2" t="inlineStr">
        <is>
          <t>R019</t>
        </is>
      </c>
      <c r="B20" s="2" t="inlineStr">
        <is>
          <t>hueco no clasificado</t>
        </is>
      </c>
      <c r="C20" s="4" t="n">
        <v>11.39154197215329</v>
      </c>
      <c r="D20" s="4" t="n">
        <v>3.476091341109113</v>
      </c>
      <c r="E20" s="2" t="inlineStr"/>
      <c r="F20" s="2" t="inlineStr">
        <is>
          <t>claro libre de 0.500 m entre ejes colineales de 0.15 m (&gt; unión 0.25 y &lt; vano 0.7)</t>
        </is>
      </c>
    </row>
    <row r="21">
      <c r="A21" s="2" t="inlineStr">
        <is>
          <t>R020</t>
        </is>
      </c>
      <c r="B21" s="2" t="inlineStr">
        <is>
          <t>hueco no clasificado</t>
        </is>
      </c>
      <c r="C21" s="4" t="n">
        <v>11.25309947484199</v>
      </c>
      <c r="D21" s="4" t="n">
        <v>3.533829325806625</v>
      </c>
      <c r="E21" s="2" t="inlineStr"/>
      <c r="F21" s="2" t="inlineStr">
        <is>
          <t>claro libre de 0.500 m entre ejes colineales de 0.15 m (&gt; unión 0.25 y &lt; vano 0.7)</t>
        </is>
      </c>
    </row>
    <row r="22">
      <c r="A22" s="2" t="inlineStr">
        <is>
          <t>R021</t>
        </is>
      </c>
      <c r="B22" s="2" t="inlineStr">
        <is>
          <t>esquina en L sin mocheta</t>
        </is>
      </c>
      <c r="C22" s="4" t="n">
        <v>-2.686794762090967</v>
      </c>
      <c r="D22" s="4" t="n">
        <v>-0.5887428845250622</v>
      </c>
      <c r="E22" s="2" t="inlineStr"/>
      <c r="F22" s="2" t="inlineStr">
        <is>
          <t>encuentro en L de muros de 0.15 y 0.15 m sin mocheta ni columna: por la regla del motor (medio espesor propio) la esquina queda sin muro; si hay mocheta, marcar su capa</t>
        </is>
      </c>
    </row>
    <row r="23">
      <c r="A23" s="2" t="inlineStr">
        <is>
          <t>R022</t>
        </is>
      </c>
      <c r="B23" s="2" t="inlineStr">
        <is>
          <t>esquina en L sin mocheta</t>
        </is>
      </c>
      <c r="C23" s="4" t="n">
        <v>5.41847718880897</v>
      </c>
      <c r="D23" s="4" t="n">
        <v>5.845831244180577</v>
      </c>
      <c r="E23" s="2" t="inlineStr"/>
      <c r="F23" s="2" t="inlineStr">
        <is>
          <t>encuentro en L de muros de 0.20 y 0.30 m sin mocheta ni columna: por la regla del motor (medio espesor propio) la esquina queda sin muro; si hay mocheta, marcar su capa</t>
        </is>
      </c>
    </row>
    <row r="24">
      <c r="A24" s="2" t="inlineStr">
        <is>
          <t>R023</t>
        </is>
      </c>
      <c r="B24" s="2" t="inlineStr">
        <is>
          <t>cimiento sin etiqueta</t>
        </is>
      </c>
      <c r="C24" s="4" t="n">
        <v>-23.76328184051385</v>
      </c>
      <c r="D24" s="4" t="n">
        <v>-9.137043229465661</v>
      </c>
      <c r="E24" s="2" t="inlineStr"/>
      <c r="F24" s="2" t="inlineStr">
        <is>
          <t>eje de muro de 0.15 m y 1.525 m sin etiqueta de tipo a &lt;= 2.2 m</t>
        </is>
      </c>
    </row>
    <row r="25">
      <c r="A25" s="2" t="inlineStr">
        <is>
          <t>R024</t>
        </is>
      </c>
      <c r="B25" s="2" t="inlineStr">
        <is>
          <t>cimiento sin etiqueta</t>
        </is>
      </c>
      <c r="C25" s="4" t="n">
        <v>-26.64303376362282</v>
      </c>
      <c r="D25" s="4" t="n">
        <v>-8.077809329062561</v>
      </c>
      <c r="E25" s="2" t="inlineStr"/>
      <c r="F25" s="2" t="inlineStr">
        <is>
          <t>eje de muro de 0.15 m y 1.202 m sin etiqueta de tipo a &lt;= 2.2 m</t>
        </is>
      </c>
    </row>
    <row r="26">
      <c r="A26" s="2" t="inlineStr">
        <is>
          <t>R025</t>
        </is>
      </c>
      <c r="B26" s="2" t="inlineStr">
        <is>
          <t>cimiento sin etiqueta</t>
        </is>
      </c>
      <c r="C26" s="4" t="n">
        <v>-24.96817389630719</v>
      </c>
      <c r="D26" s="4" t="n">
        <v>-7.790978628300367</v>
      </c>
      <c r="E26" s="2" t="inlineStr"/>
      <c r="F26" s="2" t="inlineStr">
        <is>
          <t>eje de muro de 0.15 m y 2.240 m sin etiqueta de tipo a &lt;= 2.2 m</t>
        </is>
      </c>
    </row>
    <row r="27">
      <c r="A27" s="2" t="inlineStr">
        <is>
          <t>R026</t>
        </is>
      </c>
      <c r="B27" s="2" t="inlineStr">
        <is>
          <t>cimiento sin etiqueta</t>
        </is>
      </c>
      <c r="C27" s="4" t="n">
        <v>-27.16837306294198</v>
      </c>
      <c r="D27" s="4" t="n">
        <v>-6.215394694412889</v>
      </c>
      <c r="E27" s="2" t="inlineStr"/>
      <c r="F27" s="2" t="inlineStr">
        <is>
          <t>eje de muro de 0.15 m y 2.907 m sin etiqueta de tipo a &lt;= 2.2 m</t>
        </is>
      </c>
    </row>
    <row r="28">
      <c r="A28" s="2" t="inlineStr">
        <is>
          <t>R027</t>
        </is>
      </c>
      <c r="B28" s="2" t="inlineStr">
        <is>
          <t>etiquetas de tipos distintos</t>
        </is>
      </c>
      <c r="C28" s="4" t="n">
        <v>-13.9862071332962</v>
      </c>
      <c r="D28" s="4" t="n">
        <v>5.86391217997563</v>
      </c>
      <c r="E28" s="2" t="inlineStr">
        <is>
          <t>724D2, 725A5</t>
        </is>
      </c>
      <c r="F28" s="2" t="inlineStr">
        <is>
          <t>eje de 3.825 m con etiquetas CC1, MC1</t>
        </is>
      </c>
    </row>
    <row r="29">
      <c r="A29" s="2" t="inlineStr">
        <is>
          <t>R028</t>
        </is>
      </c>
      <c r="B29" s="2" t="inlineStr">
        <is>
          <t>etiquetas de tipos distintos</t>
        </is>
      </c>
      <c r="C29" s="4" t="n">
        <v>-6.670626777330094</v>
      </c>
      <c r="D29" s="4" t="n">
        <v>7.811222828401672</v>
      </c>
      <c r="E29" s="2" t="inlineStr">
        <is>
          <t>72527, 72543</t>
        </is>
      </c>
      <c r="F29" s="2" t="inlineStr">
        <is>
          <t>eje de 3.238 m con etiquetas CC1, MC1</t>
        </is>
      </c>
    </row>
    <row r="30">
      <c r="A30" s="2" t="inlineStr">
        <is>
          <t>R029</t>
        </is>
      </c>
      <c r="B30" s="2" t="inlineStr">
        <is>
          <t>etiquetas de tipos distintos</t>
        </is>
      </c>
      <c r="C30" s="4" t="n">
        <v>-1.118857198798894</v>
      </c>
      <c r="D30" s="4" t="n">
        <v>7.811272893230206</v>
      </c>
      <c r="E30" s="2" t="inlineStr">
        <is>
          <t>72535, 7255F</t>
        </is>
      </c>
      <c r="F30" s="2" t="inlineStr">
        <is>
          <t>eje de 3.873 m con etiquetas CC1, MC1</t>
        </is>
      </c>
    </row>
    <row r="31">
      <c r="A31" s="2" t="inlineStr">
        <is>
          <t>R030</t>
        </is>
      </c>
      <c r="B31" s="2" t="inlineStr">
        <is>
          <t>cimiento sin etiqueta</t>
        </is>
      </c>
      <c r="C31" s="4" t="n">
        <v>-10.68818025013013</v>
      </c>
      <c r="D31" s="4" t="n">
        <v>0.6717231780137722</v>
      </c>
      <c r="E31" s="2" t="inlineStr"/>
      <c r="F31" s="2" t="inlineStr">
        <is>
          <t>eje de muro de 0.15 m y 0.730 m sin etiqueta de tipo a &lt;= 2.2 m</t>
        </is>
      </c>
    </row>
    <row r="32">
      <c r="A32" s="2" t="inlineStr">
        <is>
          <t>R031</t>
        </is>
      </c>
      <c r="B32" s="2" t="inlineStr">
        <is>
          <t>etiquetas de tipos distintos</t>
        </is>
      </c>
      <c r="C32" s="4" t="n">
        <v>1.788985002613424</v>
      </c>
      <c r="D32" s="4" t="n">
        <v>3.447808187263373</v>
      </c>
      <c r="E32" s="2" t="inlineStr">
        <is>
          <t>72860, 7E935</t>
        </is>
      </c>
      <c r="F32" s="2" t="inlineStr">
        <is>
          <t>eje de 5.756 m con etiquetas CC1, MC1</t>
        </is>
      </c>
    </row>
    <row r="33">
      <c r="A33" s="2" t="inlineStr">
        <is>
          <t>R032</t>
        </is>
      </c>
      <c r="B33" s="2" t="inlineStr">
        <is>
          <t>cimiento sin etiqueta</t>
        </is>
      </c>
      <c r="C33" s="4" t="n">
        <v>-16.33999839766127</v>
      </c>
      <c r="D33" s="4" t="n">
        <v>7.886257200932493</v>
      </c>
      <c r="E33" s="2" t="inlineStr"/>
      <c r="F33" s="2" t="inlineStr">
        <is>
          <t>eje de muro de 0.30 m y 7.093 m sin etiqueta de tipo a &lt;= 2.2 m</t>
        </is>
      </c>
    </row>
    <row r="34">
      <c r="A34" s="2" t="inlineStr">
        <is>
          <t>R033</t>
        </is>
      </c>
      <c r="B34" s="2" t="inlineStr">
        <is>
          <t>cimiento sin etiqueta</t>
        </is>
      </c>
      <c r="C34" s="4" t="n">
        <v>-7.161015085991188</v>
      </c>
      <c r="D34" s="4" t="n">
        <v>8.685160801662061</v>
      </c>
      <c r="E34" s="2" t="inlineStr"/>
      <c r="F34" s="2" t="inlineStr">
        <is>
          <t>eje de muro de 0.30 m y 13.350 m sin etiqueta de tipo a &lt;= 2.2 m</t>
        </is>
      </c>
    </row>
    <row r="35">
      <c r="A35" s="2" t="inlineStr">
        <is>
          <t>R034</t>
        </is>
      </c>
      <c r="B35" s="2" t="inlineStr">
        <is>
          <t>cimiento sin etiqueta</t>
        </is>
      </c>
      <c r="C35" s="4" t="n">
        <v>1.738985000458428</v>
      </c>
      <c r="D35" s="4" t="n">
        <v>8.145189965581064</v>
      </c>
      <c r="E35" s="2" t="inlineStr"/>
      <c r="F35" s="2" t="inlineStr">
        <is>
          <t>eje de muro de 0.30 m y 0.810 m sin etiqueta de tipo a &lt;= 2.2 m</t>
        </is>
      </c>
    </row>
    <row r="36">
      <c r="A36" s="2" t="inlineStr">
        <is>
          <t>R035</t>
        </is>
      </c>
      <c r="B36" s="2" t="inlineStr">
        <is>
          <t>cimiento sin etiqueta</t>
        </is>
      </c>
      <c r="C36" s="4" t="n">
        <v>3.226556343193007</v>
      </c>
      <c r="D36" s="4" t="n">
        <v>6.759980405925647</v>
      </c>
      <c r="E36" s="2" t="inlineStr"/>
      <c r="F36" s="2" t="inlineStr">
        <is>
          <t>eje de muro de 0.30 m y 3.562 m sin etiqueta de tipo a &lt;= 2.2 m</t>
        </is>
      </c>
    </row>
    <row r="37">
      <c r="A37" s="2" t="inlineStr">
        <is>
          <t>R036</t>
        </is>
      </c>
      <c r="B37" s="2" t="inlineStr">
        <is>
          <t>cimiento sin etiqueta</t>
        </is>
      </c>
      <c r="C37" s="4" t="n">
        <v>10.76089522195033</v>
      </c>
      <c r="D37" s="4" t="n">
        <v>3.847453262536581</v>
      </c>
      <c r="E37" s="2" t="inlineStr"/>
      <c r="F37" s="2" t="inlineStr">
        <is>
          <t>eje de muro de 0.30 m y 0.450 m sin etiqueta de tipo a &lt;= 2.2 m</t>
        </is>
      </c>
    </row>
    <row r="38">
      <c r="A38" s="2" t="inlineStr">
        <is>
          <t>R037</t>
        </is>
      </c>
      <c r="B38" s="2" t="inlineStr">
        <is>
          <t>etiqueta sin tramo de su tipo</t>
        </is>
      </c>
      <c r="C38" s="4" t="n">
        <v>-5.779241729536782</v>
      </c>
      <c r="D38" s="4" t="n">
        <v>7.115098829143508</v>
      </c>
      <c r="E38" s="2" t="inlineStr">
        <is>
          <t>72527</t>
        </is>
      </c>
      <c r="F38" s="2" t="inlineStr">
        <is>
          <t>etiqueta 'MC1' sin cimiento MC1 a &lt;= 2.2 m</t>
        </is>
      </c>
    </row>
    <row r="39">
      <c r="A39" s="2" t="inlineStr">
        <is>
          <t>R038</t>
        </is>
      </c>
      <c r="B39" s="2" t="inlineStr">
        <is>
          <t>etiqueta sin tramo de su tipo</t>
        </is>
      </c>
      <c r="C39" s="4" t="n">
        <v>-0.09714457222362238</v>
      </c>
      <c r="D39" s="4" t="n">
        <v>7.115098829143508</v>
      </c>
      <c r="E39" s="2" t="inlineStr">
        <is>
          <t>72535</t>
        </is>
      </c>
      <c r="F39" s="2" t="inlineStr">
        <is>
          <t>etiqueta 'MC1' sin cimiento MC1 a &lt;= 2.2 m</t>
        </is>
      </c>
    </row>
    <row r="40">
      <c r="A40" s="2" t="inlineStr">
        <is>
          <t>R039</t>
        </is>
      </c>
      <c r="B40" s="2" t="inlineStr">
        <is>
          <t>etiqueta sin tramo de su tipo</t>
        </is>
      </c>
      <c r="C40" s="4" t="n">
        <v>-6.763878337851384</v>
      </c>
      <c r="D40" s="4" t="n">
        <v>6.949937134365392</v>
      </c>
      <c r="E40" s="2" t="inlineStr">
        <is>
          <t>72543</t>
        </is>
      </c>
      <c r="F40" s="2" t="inlineStr">
        <is>
          <t>etiqueta 'CC1' sin cimiento CC1 a &lt;= 2.2 m</t>
        </is>
      </c>
    </row>
    <row r="41">
      <c r="A41" s="2" t="inlineStr">
        <is>
          <t>R040</t>
        </is>
      </c>
      <c r="B41" s="2" t="inlineStr">
        <is>
          <t>etiqueta sin tramo de su tipo</t>
        </is>
      </c>
      <c r="C41" s="4" t="n">
        <v>0.9418517464742429</v>
      </c>
      <c r="D41" s="4" t="n">
        <v>3.995055553886395</v>
      </c>
      <c r="E41" s="2" t="inlineStr">
        <is>
          <t>72860</t>
        </is>
      </c>
      <c r="F41" s="2" t="inlineStr">
        <is>
          <t>etiqueta 'CC1' sin cimiento CC1 a &lt;= 2.2 m</t>
        </is>
      </c>
    </row>
    <row r="42">
      <c r="A42" s="2" t="inlineStr">
        <is>
          <t>R041</t>
        </is>
      </c>
      <c r="B42" s="2" t="inlineStr">
        <is>
          <t>etiqueta sin tramo de su tipo</t>
        </is>
      </c>
      <c r="C42" s="4" t="n">
        <v>8.506123588699406</v>
      </c>
      <c r="D42" s="4" t="n">
        <v>3.113425443826685</v>
      </c>
      <c r="E42" s="2" t="inlineStr">
        <is>
          <t>7E927</t>
        </is>
      </c>
      <c r="F42" s="2" t="inlineStr">
        <is>
          <t>etiqueta 'MC1' sin cimiento MC1 a &lt;= 2.2 m</t>
        </is>
      </c>
    </row>
    <row r="43">
      <c r="A43" s="2" t="inlineStr">
        <is>
          <t>R042</t>
        </is>
      </c>
      <c r="B43" s="2" t="inlineStr">
        <is>
          <t>etiqueta sin tramo de su tipo</t>
        </is>
      </c>
      <c r="C43" s="4" t="n">
        <v>3.269270227769012</v>
      </c>
      <c r="D43" s="4" t="n">
        <v>5.103496190815251</v>
      </c>
      <c r="E43" s="2" t="inlineStr">
        <is>
          <t>7E935</t>
        </is>
      </c>
      <c r="F43" s="2" t="inlineStr">
        <is>
          <t>etiqueta 'MC1' sin cimiento MC1 a &lt;= 2.2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10" customWidth="1" min="3" max="3"/>
  </cols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Plano original</t>
        </is>
      </c>
      <c r="B2" s="2" t="inlineStr">
        <is>
          <t>/tmp/claude-0/-home-user-AGENTES-DE-CLOUDE/ef6b3bd4-0393-5a8b-8bd4-2e46e273e163/scratchpad/real/s1_cuant_fix.dxf</t>
        </is>
      </c>
      <c r="C2" s="2" t="inlineStr"/>
    </row>
    <row r="3">
      <c r="A3" s="2" t="inlineStr">
        <is>
          <t>sha256 original</t>
        </is>
      </c>
      <c r="B3" s="2" t="inlineStr">
        <is>
          <t>94e74d4c54d48b6574e8359b481ebf5e5a23b7adb50cb46372004a8d82719fed</t>
        </is>
      </c>
      <c r="C3" s="2" t="inlineStr"/>
    </row>
    <row r="4">
      <c r="A4" s="2" t="inlineStr">
        <is>
          <t>Copia de trabajo</t>
        </is>
      </c>
      <c r="B4" s="2" t="inlineStr">
        <is>
          <t>/home/user/AGENTES-DE-CLOUDE/cuantificador/resultados/casa_jps_sotano_S-1/A_solo_etiquetas/SALIDA_s1_cuant_fix_2026-10-15_195543/s1_cuant_fix - COPIA ORIGINAL.dxf</t>
        </is>
      </c>
      <c r="C4" s="2" t="inlineStr"/>
    </row>
    <row r="5">
      <c r="A5" s="2" t="inlineStr">
        <is>
          <t>DXF de salida</t>
        </is>
      </c>
      <c r="B5" s="2" t="inlineStr">
        <is>
          <t>/home/user/AGENTES-DE-CLOUDE/cuantificador/resultados/casa_jps_sotano_S-1/A_solo_etiquetas/SALIDA_s1_cuant_fix_2026-10-15_195543/s1_cuant_fix - CUANT.dxf</t>
        </is>
      </c>
      <c r="C5" s="2" t="inlineStr"/>
    </row>
    <row r="6">
      <c r="A6" s="2" t="inlineStr">
        <is>
          <t>Capas de origen</t>
        </is>
      </c>
      <c r="B6" s="2" t="inlineStr">
        <is>
          <t>BLOCK251, block0.14, block 008, BLOKS 008</t>
        </is>
      </c>
      <c r="C6" s="2" t="inlineStr"/>
    </row>
    <row r="7">
      <c r="A7" s="2" t="inlineStr">
        <is>
          <t>$INSUNITS</t>
        </is>
      </c>
      <c r="B7" s="2" t="inlineStr">
        <is>
          <t>6 (m)</t>
        </is>
      </c>
      <c r="C7" s="2" t="inlineStr"/>
    </row>
    <row r="8">
      <c r="A8" s="2" t="inlineStr">
        <is>
          <t>Factor a metros</t>
        </is>
      </c>
      <c r="B8" s="2" t="n">
        <v>1</v>
      </c>
      <c r="C8" s="2" t="inlineStr">
        <is>
          <t>m/unidad</t>
        </is>
      </c>
    </row>
    <row r="9">
      <c r="A9" s="2" t="inlineStr">
        <is>
          <t>Espesores</t>
        </is>
      </c>
      <c r="B9" s="2" t="inlineStr">
        <is>
          <t>0.10, 0.15, 0.20</t>
        </is>
      </c>
      <c r="C9" s="2" t="inlineStr">
        <is>
          <t>m</t>
        </is>
      </c>
    </row>
    <row r="10">
      <c r="A10" s="2" t="inlineStr">
        <is>
          <t>Nivel</t>
        </is>
      </c>
      <c r="B10" s="2" t="inlineStr">
        <is>
          <t>SOT</t>
        </is>
      </c>
      <c r="C10" s="2" t="inlineStr"/>
    </row>
    <row r="11">
      <c r="A11" s="2" t="inlineStr">
        <is>
          <t>Altura de muro</t>
        </is>
      </c>
      <c r="B11" s="2" t="inlineStr">
        <is>
          <t>(vacía: solo LARGO)</t>
        </is>
      </c>
      <c r="C11" s="2" t="inlineStr"/>
    </row>
    <row r="12">
      <c r="A12" s="2" t="inlineStr">
        <is>
          <t>Tolerancia de espesor</t>
        </is>
      </c>
      <c r="B12" s="2" t="n">
        <v>0.005</v>
      </c>
      <c r="C12" s="2" t="inlineStr">
        <is>
          <t>m</t>
        </is>
      </c>
    </row>
    <row r="13">
      <c r="A13" s="2" t="inlineStr">
        <is>
          <t>Tolerancia angular</t>
        </is>
      </c>
      <c r="B13" s="2" t="n">
        <v>0.5</v>
      </c>
      <c r="C13" s="2" t="inlineStr">
        <is>
          <t>°</t>
        </is>
      </c>
    </row>
    <row r="14">
      <c r="A14" s="2" t="inlineStr">
        <is>
          <t>Unión de ejes colineales hasta</t>
        </is>
      </c>
      <c r="B14" s="2" t="n">
        <v>0.25</v>
      </c>
      <c r="C14" s="2" t="inlineStr">
        <is>
          <t>m</t>
        </is>
      </c>
    </row>
    <row r="15">
      <c r="A15" s="2" t="inlineStr">
        <is>
          <t>Vano de puerta</t>
        </is>
      </c>
      <c r="B15" s="2" t="inlineStr">
        <is>
          <t>0.7 a 1.5</t>
        </is>
      </c>
      <c r="C15" s="2" t="inlineStr">
        <is>
          <t>m</t>
        </is>
      </c>
    </row>
    <row r="16">
      <c r="A16" s="2" t="inlineStr">
        <is>
          <t>Umbral de eje corto</t>
        </is>
      </c>
      <c r="B16" s="2" t="n">
        <v>0.2</v>
      </c>
      <c r="C16" s="2" t="inlineStr">
        <is>
          <t>m</t>
        </is>
      </c>
    </row>
    <row r="17">
      <c r="A17" s="2" t="inlineStr">
        <is>
          <t>Snap de esquinas</t>
        </is>
      </c>
      <c r="B17" s="2" t="n">
        <v>0.03</v>
      </c>
      <c r="C17" s="2" t="inlineStr">
        <is>
          <t>m</t>
        </is>
      </c>
    </row>
    <row r="18">
      <c r="A18" s="2" t="inlineStr">
        <is>
          <t>Tipos de cimiento (tabla del proyecto)</t>
        </is>
      </c>
      <c r="B18" s="2" t="inlineStr">
        <is>
          <t>{"CC1": {"ancho": 0.7, "peralte": 0.25, "color": 2, "color_dentro": 52}, "MC1": {"ancho": 1.0, "peralte": 0.3, "color": 4, "color_dentro": 144}}</t>
        </is>
      </c>
      <c r="C18" s="2" t="inlineStr">
        <is>
          <t>m</t>
        </is>
      </c>
    </row>
    <row r="19">
      <c r="A19" s="2" t="inlineStr">
        <is>
          <t>Espesores sin cimiento</t>
        </is>
      </c>
      <c r="B19" s="2" t="inlineStr">
        <is>
          <t>0.10</t>
        </is>
      </c>
      <c r="C19" s="2" t="inlineStr">
        <is>
          <t>m</t>
        </is>
      </c>
    </row>
    <row r="20">
      <c r="A20" s="2" t="inlineStr">
        <is>
          <t>Distancia máxima etiqueta - eje</t>
        </is>
      </c>
      <c r="B20" s="2" t="n">
        <v>2.2</v>
      </c>
      <c r="C20" s="2" t="inlineStr">
        <is>
          <t>m</t>
        </is>
      </c>
    </row>
    <row r="21">
      <c r="A21" s="2" t="inlineStr">
        <is>
          <t>Etiquetas de cimiento leídas</t>
        </is>
      </c>
      <c r="B21" s="2" t="n">
        <v>40</v>
      </c>
      <c r="C21" s="2" t="inlineStr">
        <is>
          <t>u</t>
        </is>
      </c>
    </row>
    <row r="22">
      <c r="A22" s="2" t="inlineStr">
        <is>
          <t>Capas de columnas / mochetas</t>
        </is>
      </c>
      <c r="B22" s="2" t="inlineStr">
        <is>
          <t>MOCHETAS 004</t>
        </is>
      </c>
      <c r="C22" s="2" t="inlineStr"/>
    </row>
    <row r="23">
      <c r="A23" s="2" t="inlineStr">
        <is>
          <t>Capas de zapatas</t>
        </is>
      </c>
      <c r="B23" s="2" t="inlineStr">
        <is>
          <t>Zapata Z1 de 2.20 x 2.20 x 0.45 m, Zapata Z2 de 3.90 x 3.90 x 0.45 m, Zapata Z3 de 3.30 x 3.30 x 0.55 m, Zapata Z4 de 2.50 x 2.50 x 0.50 m, Zapata Z5 de 3.90 x 7.90 x 0.45 m, Zapata Z6 de 3.75 x 3.75 x 0.50 m, Zapata Z7 de 3.30 x 5.75 x 0.55 m, Zapata Z8 de 6.55 x 7.10 x 0.45 m</t>
        </is>
      </c>
      <c r="C23" s="2" t="inlineStr"/>
    </row>
    <row r="24">
      <c r="A24" s="2" t="inlineStr">
        <is>
          <t>Ventana de análisis</t>
        </is>
      </c>
      <c r="B24" s="2" t="inlineStr">
        <is>
          <t>-36.000, -19.000, 14.000, 11.000</t>
        </is>
      </c>
      <c r="C24" s="2" t="inlineStr">
        <is>
          <t>m</t>
        </is>
      </c>
    </row>
    <row r="25">
      <c r="A25" s="2" t="inlineStr">
        <is>
          <t>Blocks del emplantillado</t>
        </is>
      </c>
      <c r="B25" s="2" t="n">
        <v>760</v>
      </c>
      <c r="C25" s="2" t="inlineStr">
        <is>
          <t>u</t>
        </is>
      </c>
    </row>
    <row r="26">
      <c r="A26" s="2" t="inlineStr">
        <is>
          <t>Tipo de cimiento por defecto (sin etiqueta)</t>
        </is>
      </c>
      <c r="B26" s="2" t="inlineStr">
        <is>
          <t>{}</t>
        </is>
      </c>
      <c r="C26" s="2" t="inlineStr"/>
    </row>
    <row r="27">
      <c r="A27" s="2" t="inlineStr">
        <is>
          <t>Espesor declarado por capa</t>
        </is>
      </c>
      <c r="B27" s="2" t="inlineStr">
        <is>
          <t>BLOKS 008 = 0.10</t>
        </is>
      </c>
      <c r="C27" s="2" t="inlineStr">
        <is>
          <t>m</t>
        </is>
      </c>
    </row>
    <row r="28">
      <c r="A28" s="2" t="inlineStr">
        <is>
          <t>Fecha</t>
        </is>
      </c>
      <c r="B28" s="2" t="inlineStr">
        <is>
          <t>2026-10-15 19:55:43</t>
        </is>
      </c>
      <c r="C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2026-10-15T19:55:49Z</dcterms:created>
  <dcterms:modified xsi:type="dcterms:W3CDTF">2026-10-15T19:55:50Z</dcterms:modified>
</cp:coreProperties>
</file>